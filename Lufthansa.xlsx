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h\Desktop\"/>
    </mc:Choice>
  </mc:AlternateContent>
  <xr:revisionPtr revIDLastSave="0" documentId="13_ncr:1_{BD18BC50-A84F-4EA3-BAAE-B3C19013D249}" xr6:coauthVersionLast="47" xr6:coauthVersionMax="47" xr10:uidLastSave="{00000000-0000-0000-0000-000000000000}"/>
  <bookViews>
    <workbookView xWindow="-120" yWindow="-120" windowWidth="29040" windowHeight="15720" xr2:uid="{AD8A4B29-6665-4AA6-9722-B19BB20ED677}"/>
  </bookViews>
  <sheets>
    <sheet name="Mai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2" l="1"/>
  <c r="L7" i="2"/>
  <c r="I7" i="2"/>
  <c r="C7" i="2"/>
  <c r="B7" i="2"/>
  <c r="M8" i="2"/>
  <c r="L8" i="2"/>
  <c r="I8" i="2"/>
  <c r="M9" i="2"/>
  <c r="L9" i="2"/>
  <c r="I9" i="2"/>
  <c r="M10" i="2"/>
  <c r="L10" i="2"/>
  <c r="I10" i="2"/>
  <c r="M11" i="2"/>
  <c r="L11" i="2"/>
  <c r="I11" i="2"/>
  <c r="M12" i="2"/>
  <c r="L12" i="2"/>
  <c r="I12" i="2"/>
  <c r="I14" i="2"/>
  <c r="I13" i="2"/>
  <c r="M14" i="2"/>
  <c r="L14" i="2"/>
  <c r="M13" i="2"/>
  <c r="L13" i="2"/>
  <c r="L15" i="2"/>
  <c r="M16" i="2"/>
  <c r="L16" i="2"/>
  <c r="M15" i="2"/>
  <c r="I16" i="2"/>
  <c r="I15" i="2"/>
  <c r="M17" i="2"/>
  <c r="L17" i="2"/>
  <c r="I17" i="2"/>
  <c r="S16" i="2"/>
  <c r="M19" i="2"/>
  <c r="M18" i="2"/>
  <c r="L18" i="2"/>
  <c r="I18" i="2"/>
  <c r="L19" i="2"/>
  <c r="I19" i="2"/>
  <c r="M22" i="2"/>
  <c r="L22" i="2"/>
  <c r="M21" i="2"/>
  <c r="L21" i="2"/>
  <c r="M20" i="2"/>
  <c r="L20" i="2"/>
  <c r="I22" i="2"/>
  <c r="I21" i="2"/>
  <c r="I20" i="2"/>
  <c r="S13" i="2"/>
  <c r="S12" i="2"/>
  <c r="M23" i="2"/>
  <c r="L23" i="2"/>
  <c r="I23" i="2"/>
  <c r="C164" i="2"/>
  <c r="C157" i="2"/>
  <c r="C150" i="2"/>
  <c r="C143" i="2"/>
  <c r="C136" i="2"/>
  <c r="C129" i="2"/>
  <c r="C122" i="2"/>
  <c r="C115" i="2"/>
  <c r="C108" i="2"/>
  <c r="C101" i="2"/>
  <c r="C94" i="2"/>
  <c r="C87" i="2"/>
  <c r="M24" i="2"/>
  <c r="L24" i="2"/>
  <c r="I24" i="2"/>
  <c r="M25" i="2"/>
  <c r="L25" i="2"/>
  <c r="I25" i="2"/>
  <c r="M26" i="2"/>
  <c r="L26" i="2"/>
  <c r="I26" i="2"/>
  <c r="M27" i="2"/>
  <c r="L27" i="2"/>
  <c r="I27" i="2"/>
  <c r="I28" i="2"/>
  <c r="M28" i="2"/>
  <c r="L28" i="2"/>
  <c r="M29" i="2"/>
  <c r="L29" i="2"/>
  <c r="I29" i="2"/>
  <c r="M30" i="2"/>
  <c r="L30" i="2"/>
  <c r="I30" i="2"/>
  <c r="M31" i="2"/>
  <c r="L31" i="2"/>
  <c r="I31" i="2"/>
  <c r="M32" i="2"/>
  <c r="L32" i="2"/>
  <c r="I32" i="2"/>
  <c r="M33" i="2"/>
  <c r="L33" i="2"/>
  <c r="I33" i="2"/>
  <c r="M34" i="2"/>
  <c r="L34" i="2"/>
  <c r="I34" i="2"/>
  <c r="M35" i="2"/>
  <c r="L35" i="2"/>
  <c r="I35" i="2"/>
  <c r="M36" i="2"/>
  <c r="L36" i="2"/>
  <c r="I36" i="2"/>
  <c r="M37" i="2"/>
  <c r="L37" i="2"/>
  <c r="I37" i="2"/>
  <c r="M38" i="2"/>
  <c r="L38" i="2"/>
  <c r="I38" i="2"/>
  <c r="M39" i="2"/>
  <c r="L39" i="2"/>
  <c r="I39" i="2"/>
  <c r="M41" i="2"/>
  <c r="L41" i="2"/>
  <c r="I41" i="2"/>
  <c r="M40" i="2"/>
  <c r="L40" i="2"/>
  <c r="I40" i="2"/>
  <c r="M42" i="2"/>
  <c r="L42" i="2"/>
  <c r="I42" i="2"/>
  <c r="M43" i="2"/>
  <c r="L43" i="2"/>
  <c r="I43" i="2"/>
  <c r="M44" i="2"/>
  <c r="L44" i="2"/>
  <c r="I44" i="2"/>
  <c r="M45" i="2"/>
  <c r="L45" i="2"/>
  <c r="I45" i="2"/>
  <c r="M46" i="2"/>
  <c r="L46" i="2"/>
  <c r="I46" i="2"/>
  <c r="L49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I47" i="2"/>
  <c r="L172" i="2"/>
  <c r="I172" i="2"/>
  <c r="L171" i="2"/>
  <c r="I171" i="2"/>
  <c r="L170" i="2"/>
  <c r="I170" i="2"/>
  <c r="L169" i="2"/>
  <c r="I169" i="2"/>
  <c r="L168" i="2"/>
  <c r="I168" i="2"/>
  <c r="L167" i="2"/>
  <c r="I167" i="2"/>
  <c r="L166" i="2"/>
  <c r="I166" i="2"/>
  <c r="L165" i="2"/>
  <c r="I165" i="2"/>
  <c r="L164" i="2"/>
  <c r="I164" i="2"/>
  <c r="L163" i="2"/>
  <c r="I163" i="2"/>
  <c r="L162" i="2"/>
  <c r="I162" i="2"/>
  <c r="L161" i="2"/>
  <c r="I161" i="2"/>
  <c r="L160" i="2"/>
  <c r="I160" i="2"/>
  <c r="L159" i="2"/>
  <c r="I159" i="2"/>
  <c r="L158" i="2"/>
  <c r="I158" i="2"/>
  <c r="L157" i="2"/>
  <c r="I157" i="2"/>
  <c r="L156" i="2"/>
  <c r="I156" i="2"/>
  <c r="L155" i="2"/>
  <c r="I155" i="2"/>
  <c r="L154" i="2"/>
  <c r="I154" i="2"/>
  <c r="L153" i="2"/>
  <c r="I153" i="2"/>
  <c r="L152" i="2"/>
  <c r="I152" i="2"/>
  <c r="L151" i="2"/>
  <c r="I151" i="2"/>
  <c r="L150" i="2"/>
  <c r="I150" i="2"/>
  <c r="L149" i="2"/>
  <c r="I149" i="2"/>
  <c r="L148" i="2"/>
  <c r="I148" i="2"/>
  <c r="L147" i="2"/>
  <c r="I147" i="2"/>
  <c r="L146" i="2"/>
  <c r="I146" i="2"/>
  <c r="L145" i="2"/>
  <c r="I145" i="2"/>
  <c r="L144" i="2"/>
  <c r="I144" i="2"/>
  <c r="L143" i="2"/>
  <c r="I143" i="2"/>
  <c r="L142" i="2"/>
  <c r="I142" i="2"/>
  <c r="L141" i="2"/>
  <c r="I141" i="2"/>
  <c r="L140" i="2"/>
  <c r="I140" i="2"/>
  <c r="L139" i="2"/>
  <c r="I139" i="2"/>
  <c r="L138" i="2"/>
  <c r="I138" i="2"/>
  <c r="L137" i="2"/>
  <c r="I137" i="2"/>
  <c r="L136" i="2"/>
  <c r="I136" i="2"/>
  <c r="L135" i="2"/>
  <c r="I135" i="2"/>
  <c r="L134" i="2"/>
  <c r="I134" i="2"/>
  <c r="L133" i="2"/>
  <c r="I133" i="2"/>
  <c r="L132" i="2"/>
  <c r="I132" i="2"/>
  <c r="L131" i="2"/>
  <c r="I131" i="2"/>
  <c r="L130" i="2"/>
  <c r="I130" i="2"/>
  <c r="L129" i="2"/>
  <c r="I129" i="2"/>
  <c r="L128" i="2"/>
  <c r="I128" i="2"/>
  <c r="L127" i="2"/>
  <c r="I127" i="2"/>
  <c r="L126" i="2"/>
  <c r="I126" i="2"/>
  <c r="L125" i="2"/>
  <c r="I125" i="2"/>
  <c r="L124" i="2"/>
  <c r="I124" i="2"/>
  <c r="L123" i="2"/>
  <c r="I123" i="2"/>
  <c r="L122" i="2"/>
  <c r="I122" i="2"/>
  <c r="L121" i="2"/>
  <c r="I121" i="2"/>
  <c r="L120" i="2"/>
  <c r="I120" i="2"/>
  <c r="L119" i="2"/>
  <c r="I119" i="2"/>
  <c r="L118" i="2"/>
  <c r="I118" i="2"/>
  <c r="L117" i="2"/>
  <c r="I117" i="2"/>
  <c r="L116" i="2"/>
  <c r="I116" i="2"/>
  <c r="L115" i="2"/>
  <c r="I115" i="2"/>
  <c r="L114" i="2"/>
  <c r="I114" i="2"/>
  <c r="L113" i="2"/>
  <c r="I113" i="2"/>
  <c r="L112" i="2"/>
  <c r="I112" i="2"/>
  <c r="L111" i="2"/>
  <c r="I111" i="2"/>
  <c r="L110" i="2"/>
  <c r="I110" i="2"/>
  <c r="L109" i="2"/>
  <c r="I109" i="2"/>
  <c r="L108" i="2"/>
  <c r="I108" i="2"/>
  <c r="L107" i="2"/>
  <c r="I107" i="2"/>
  <c r="L106" i="2"/>
  <c r="I106" i="2"/>
  <c r="L105" i="2"/>
  <c r="I105" i="2"/>
  <c r="L104" i="2"/>
  <c r="I104" i="2"/>
  <c r="L103" i="2"/>
  <c r="I103" i="2"/>
  <c r="L102" i="2"/>
  <c r="I102" i="2"/>
  <c r="L101" i="2"/>
  <c r="I101" i="2"/>
  <c r="L100" i="2"/>
  <c r="I100" i="2"/>
  <c r="L99" i="2"/>
  <c r="I99" i="2"/>
  <c r="L98" i="2"/>
  <c r="I98" i="2"/>
  <c r="L97" i="2"/>
  <c r="I97" i="2"/>
  <c r="L96" i="2"/>
  <c r="I96" i="2"/>
  <c r="L95" i="2"/>
  <c r="I95" i="2"/>
  <c r="L94" i="2"/>
  <c r="I94" i="2"/>
  <c r="L93" i="2"/>
  <c r="I93" i="2"/>
  <c r="L92" i="2"/>
  <c r="I92" i="2"/>
  <c r="L91" i="2"/>
  <c r="I91" i="2"/>
  <c r="L90" i="2"/>
  <c r="I90" i="2"/>
  <c r="L89" i="2"/>
  <c r="I89" i="2"/>
  <c r="L88" i="2"/>
  <c r="I88" i="2"/>
  <c r="L87" i="2"/>
  <c r="I87" i="2"/>
  <c r="L86" i="2"/>
  <c r="I86" i="2"/>
  <c r="L85" i="2"/>
  <c r="I85" i="2"/>
  <c r="L84" i="2"/>
  <c r="I84" i="2"/>
  <c r="L83" i="2"/>
  <c r="I83" i="2"/>
  <c r="L82" i="2"/>
  <c r="I82" i="2"/>
  <c r="L81" i="2"/>
  <c r="I81" i="2"/>
  <c r="B81" i="2"/>
  <c r="B80" i="2" s="1"/>
  <c r="B79" i="2" s="1"/>
  <c r="B78" i="2" s="1"/>
  <c r="B77" i="2" s="1"/>
  <c r="B76" i="2" s="1"/>
  <c r="B75" i="2" s="1"/>
  <c r="B74" i="2" s="1"/>
  <c r="B73" i="2" s="1"/>
  <c r="B72" i="2" s="1"/>
  <c r="B71" i="2" s="1"/>
  <c r="B70" i="2" s="1"/>
  <c r="B69" i="2" s="1"/>
  <c r="B68" i="2" s="1"/>
  <c r="B67" i="2" s="1"/>
  <c r="B66" i="2" s="1"/>
  <c r="B65" i="2" s="1"/>
  <c r="B64" i="2" s="1"/>
  <c r="B63" i="2" s="1"/>
  <c r="B62" i="2" s="1"/>
  <c r="B61" i="2" s="1"/>
  <c r="B60" i="2" s="1"/>
  <c r="B59" i="2" s="1"/>
  <c r="B58" i="2" s="1"/>
  <c r="B57" i="2" s="1"/>
  <c r="B56" i="2" s="1"/>
  <c r="B55" i="2" s="1"/>
  <c r="B54" i="2" s="1"/>
  <c r="B53" i="2" s="1"/>
  <c r="B52" i="2" s="1"/>
  <c r="B51" i="2" s="1"/>
  <c r="B50" i="2" s="1"/>
  <c r="B49" i="2" s="1"/>
  <c r="B48" i="2" s="1"/>
  <c r="B47" i="2" s="1"/>
  <c r="B46" i="2" s="1"/>
  <c r="B45" i="2" s="1"/>
  <c r="B44" i="2" s="1"/>
  <c r="B43" i="2" s="1"/>
  <c r="B42" i="2" s="1"/>
  <c r="B41" i="2" s="1"/>
  <c r="B40" i="2" s="1"/>
  <c r="C40" i="2" s="1"/>
  <c r="L80" i="2"/>
  <c r="I80" i="2"/>
  <c r="L79" i="2"/>
  <c r="I79" i="2"/>
  <c r="L78" i="2"/>
  <c r="I78" i="2"/>
  <c r="L77" i="2"/>
  <c r="I77" i="2"/>
  <c r="L76" i="2"/>
  <c r="I76" i="2"/>
  <c r="L75" i="2"/>
  <c r="I75" i="2"/>
  <c r="L74" i="2"/>
  <c r="I74" i="2"/>
  <c r="L73" i="2"/>
  <c r="I73" i="2"/>
  <c r="L72" i="2"/>
  <c r="I72" i="2"/>
  <c r="L71" i="2"/>
  <c r="I71" i="2"/>
  <c r="L70" i="2"/>
  <c r="I70" i="2"/>
  <c r="L69" i="2"/>
  <c r="I69" i="2"/>
  <c r="L68" i="2"/>
  <c r="I68" i="2"/>
  <c r="L67" i="2"/>
  <c r="I67" i="2"/>
  <c r="L66" i="2"/>
  <c r="I66" i="2"/>
  <c r="L65" i="2"/>
  <c r="I65" i="2"/>
  <c r="L64" i="2"/>
  <c r="I64" i="2"/>
  <c r="L63" i="2"/>
  <c r="I63" i="2"/>
  <c r="L62" i="2"/>
  <c r="I62" i="2"/>
  <c r="L61" i="2"/>
  <c r="I61" i="2"/>
  <c r="L60" i="2"/>
  <c r="I60" i="2"/>
  <c r="L59" i="2"/>
  <c r="I59" i="2"/>
  <c r="L58" i="2"/>
  <c r="I58" i="2"/>
  <c r="L57" i="2"/>
  <c r="I57" i="2"/>
  <c r="L56" i="2"/>
  <c r="I56" i="2"/>
  <c r="L55" i="2"/>
  <c r="I55" i="2"/>
  <c r="L54" i="2"/>
  <c r="I54" i="2"/>
  <c r="L53" i="2"/>
  <c r="I53" i="2"/>
  <c r="L52" i="2"/>
  <c r="I52" i="2"/>
  <c r="L51" i="2"/>
  <c r="I51" i="2"/>
  <c r="L50" i="2"/>
  <c r="I50" i="2"/>
  <c r="I49" i="2"/>
  <c r="L48" i="2"/>
  <c r="I48" i="2"/>
  <c r="L47" i="2"/>
  <c r="S14" i="2"/>
  <c r="R15" i="2"/>
  <c r="S15" i="2" s="1"/>
  <c r="C52" i="2" l="1"/>
  <c r="C45" i="2"/>
  <c r="C59" i="2"/>
  <c r="C66" i="2"/>
  <c r="C73" i="2"/>
  <c r="C80" i="2"/>
  <c r="P6" i="2"/>
  <c r="P12" i="2"/>
  <c r="B39" i="2"/>
  <c r="P5" i="2"/>
  <c r="C41" i="2"/>
  <c r="C42" i="2"/>
  <c r="C43" i="2"/>
  <c r="C44" i="2"/>
  <c r="C46" i="2"/>
  <c r="I1" i="2"/>
  <c r="P7" i="2"/>
  <c r="C47" i="2"/>
  <c r="P8" i="2"/>
  <c r="P3" i="2"/>
  <c r="P4" i="2"/>
  <c r="P25" i="2"/>
  <c r="P27" i="2"/>
  <c r="P14" i="2"/>
  <c r="P23" i="2"/>
  <c r="P26" i="2"/>
  <c r="P24" i="2"/>
  <c r="P28" i="2"/>
  <c r="P22" i="2"/>
  <c r="P11" i="2"/>
  <c r="L1" i="2"/>
  <c r="P15" i="2"/>
  <c r="P16" i="2"/>
  <c r="P13" i="2"/>
  <c r="Q4" i="2" l="1"/>
  <c r="Q7" i="2"/>
  <c r="Q5" i="2"/>
  <c r="Q6" i="2"/>
  <c r="Q8" i="2"/>
  <c r="Q24" i="2"/>
  <c r="C39" i="2"/>
  <c r="B38" i="2"/>
  <c r="Q26" i="2"/>
  <c r="Q14" i="2"/>
  <c r="Q27" i="2"/>
  <c r="Q28" i="2"/>
  <c r="Q23" i="2"/>
  <c r="Q25" i="2"/>
  <c r="Q13" i="2"/>
  <c r="Q16" i="2"/>
  <c r="Q15" i="2"/>
  <c r="Q12" i="2"/>
  <c r="C38" i="2" l="1"/>
  <c r="B37" i="2"/>
  <c r="B36" i="2" l="1"/>
  <c r="C37" i="2"/>
  <c r="C36" i="2" l="1"/>
  <c r="B35" i="2"/>
  <c r="C35" i="2" l="1"/>
  <c r="B34" i="2"/>
  <c r="B33" i="2" l="1"/>
  <c r="C34" i="2"/>
  <c r="C33" i="2" l="1"/>
  <c r="B32" i="2"/>
  <c r="C32" i="2" l="1"/>
  <c r="B31" i="2"/>
  <c r="C31" i="2" l="1"/>
  <c r="B30" i="2"/>
  <c r="C30" i="2" l="1"/>
  <c r="B29" i="2"/>
  <c r="C29" i="2" l="1"/>
  <c r="B28" i="2"/>
  <c r="C28" i="2" l="1"/>
  <c r="B27" i="2"/>
  <c r="C27" i="2" l="1"/>
  <c r="B26" i="2"/>
  <c r="C26" i="2" l="1"/>
  <c r="B25" i="2"/>
  <c r="C25" i="2" l="1"/>
  <c r="B24" i="2"/>
  <c r="C24" i="2" l="1"/>
  <c r="B23" i="2"/>
  <c r="C23" i="2" l="1"/>
  <c r="B22" i="2"/>
  <c r="B21" i="2" l="1"/>
  <c r="C22" i="2"/>
  <c r="C21" i="2" l="1"/>
  <c r="B20" i="2"/>
  <c r="B19" i="2" l="1"/>
  <c r="C20" i="2"/>
  <c r="B18" i="2" l="1"/>
  <c r="C19" i="2"/>
  <c r="C18" i="2" l="1"/>
  <c r="B17" i="2"/>
  <c r="C17" i="2" l="1"/>
  <c r="B16" i="2"/>
  <c r="C16" i="2" l="1"/>
  <c r="B15" i="2"/>
  <c r="C15" i="2" l="1"/>
  <c r="B14" i="2"/>
  <c r="C14" i="2" l="1"/>
  <c r="B13" i="2"/>
  <c r="C13" i="2" l="1"/>
  <c r="B12" i="2"/>
  <c r="B11" i="2" l="1"/>
  <c r="C12" i="2"/>
  <c r="C11" i="2" l="1"/>
  <c r="B10" i="2"/>
  <c r="C10" i="2" l="1"/>
  <c r="B9" i="2"/>
  <c r="C9" i="2" l="1"/>
  <c r="B8" i="2"/>
  <c r="C8" i="2" s="1"/>
  <c r="T6" i="2" l="1"/>
  <c r="T3" i="2"/>
</calcChain>
</file>

<file path=xl/sharedStrings.xml><?xml version="1.0" encoding="utf-8"?>
<sst xmlns="http://schemas.openxmlformats.org/spreadsheetml/2006/main" count="654" uniqueCount="47">
  <si>
    <t>Date</t>
  </si>
  <si>
    <t>Aircraft</t>
  </si>
  <si>
    <t>Origin</t>
  </si>
  <si>
    <t>Destination</t>
  </si>
  <si>
    <t>Departure</t>
  </si>
  <si>
    <t>Arrival</t>
  </si>
  <si>
    <t>A359</t>
  </si>
  <si>
    <t>Sched Dept</t>
  </si>
  <si>
    <t>Sched Arr</t>
  </si>
  <si>
    <t>Diff</t>
  </si>
  <si>
    <t>Day</t>
  </si>
  <si>
    <t>Reaching Munich</t>
  </si>
  <si>
    <t>Before Time</t>
  </si>
  <si>
    <t>On time (0-10)</t>
  </si>
  <si>
    <t>Little Late (10-30)</t>
  </si>
  <si>
    <t>Diff2</t>
  </si>
  <si>
    <t>Late (30-45)</t>
  </si>
  <si>
    <t>Extreme Late (45+)</t>
  </si>
  <si>
    <t>Total</t>
  </si>
  <si>
    <t>Avg Time</t>
  </si>
  <si>
    <t>Remaining</t>
  </si>
  <si>
    <t>Next Flight Dept</t>
  </si>
  <si>
    <t>08:25AM CEST</t>
  </si>
  <si>
    <t>Gate Close</t>
  </si>
  <si>
    <t>Time to Gate close</t>
  </si>
  <si>
    <t>Time Before Gate</t>
  </si>
  <si>
    <t>Extremely Early (≥ 120 min)</t>
  </si>
  <si>
    <t>Very Early (90–119 min)</t>
  </si>
  <si>
    <t>Early (60–89 min)</t>
  </si>
  <si>
    <t>Moderately Early (30–59 min)</t>
  </si>
  <si>
    <t>Just in Time (1–29 min)</t>
  </si>
  <si>
    <t>At Close or Late (≤ 0 min)</t>
  </si>
  <si>
    <t>Tuesday</t>
  </si>
  <si>
    <t>Chatrapati Shivaji Int'l (BOM / VABB)</t>
  </si>
  <si>
    <t>Munich Int'l (MUC / EDDM)</t>
  </si>
  <si>
    <t>Monday</t>
  </si>
  <si>
    <t>Sunday</t>
  </si>
  <si>
    <t>Saturday</t>
  </si>
  <si>
    <t>Friday</t>
  </si>
  <si>
    <t>Thursday</t>
  </si>
  <si>
    <t>Wednesday</t>
  </si>
  <si>
    <t>IST</t>
  </si>
  <si>
    <t>CEST</t>
  </si>
  <si>
    <t>Leaving Mumbai</t>
  </si>
  <si>
    <t>Leaving</t>
  </si>
  <si>
    <t>Reaching</t>
  </si>
  <si>
    <t>08:10AM CEST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</si>
</sst>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0"/>
      <color theme="1"/>
      <name val="Arial"/>
      <family val="2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6" fillId="3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0" fontId="2" fillId="0" borderId="0" xfId="0" applyFont="1"/>
    <xf numFmtId="9" fontId="0" fillId="0" borderId="0" xfId="1" applyFont="1"/>
    <xf numFmtId="2" fontId="0" fillId="0" borderId="0" xfId="0" applyNumberFormat="1"/>
    <xf numFmtId="0" fontId="4" fillId="2" borderId="0" xfId="2"/>
    <xf numFmtId="0" fontId="5" fillId="0" borderId="1" xfId="0" applyFont="1" applyBorder="1"/>
    <xf numFmtId="20" fontId="5" fillId="0" borderId="1" xfId="0" applyNumberFormat="1" applyFont="1" applyBorder="1" applyAlignment="1">
      <alignment horizontal="right"/>
    </xf>
    <xf numFmtId="1" fontId="5" fillId="0" borderId="1" xfId="0" applyNumberFormat="1" applyFont="1" applyBorder="1" applyAlignment="1">
      <alignment horizontal="right"/>
    </xf>
    <xf numFmtId="1" fontId="5" fillId="0" borderId="2" xfId="0" applyNumberFormat="1" applyFont="1" applyBorder="1" applyAlignment="1">
      <alignment horizontal="right"/>
    </xf>
    <xf numFmtId="0" fontId="6" fillId="3" borderId="0" xfId="3"/>
  </cellXfs>
  <cellStyles count="4">
    <cellStyle name="Good" xfId="2" builtinId="26"/>
    <cellStyle name="Neutral" xfId="3" builtinId="28"/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8C16D5-25B9-46D9-B76B-5D3DE656FD35}" name="Table1" displayName="Table1" ref="B3:M172" totalsRowShown="0">
  <autoFilter ref="B3:M172" xr:uid="{A68C16D5-25B9-46D9-B76B-5D3DE656FD35}"/>
  <tableColumns count="12">
    <tableColumn id="1" xr3:uid="{02511F55-30B5-474C-9263-531FE1544543}" name="Date" dataDxfId="3"/>
    <tableColumn id="2" xr3:uid="{40EE14C0-D47F-4ABA-8A42-1D4FC4FD5BED}" name="Day" dataDxfId="2"/>
    <tableColumn id="3" xr3:uid="{9BFC1A48-2A61-4B5B-90CF-CB15E90F210C}" name="Aircraft"/>
    <tableColumn id="4" xr3:uid="{CA82931B-D8C0-4922-976E-9ADDB06A4FD2}" name="Origin"/>
    <tableColumn id="5" xr3:uid="{0A040875-32F9-43BC-BC1C-6E13DA289FAD}" name="Destination"/>
    <tableColumn id="6" xr3:uid="{E855060B-D547-4D91-81DA-965EE038DC26}" name="Sched Dept"/>
    <tableColumn id="7" xr3:uid="{D01D14A9-BEA8-49D0-AF2F-8110418479DE}" name="Departure"/>
    <tableColumn id="8" xr3:uid="{FC789809-154C-4153-B814-6D48A3AB042E}" name="Diff"/>
    <tableColumn id="9" xr3:uid="{96CBFBAE-F754-4008-B71E-6F5027D35716}" name="Sched Arr"/>
    <tableColumn id="10" xr3:uid="{69344A90-64DF-4332-A78D-40F569B14D46}" name="Arrival"/>
    <tableColumn id="11" xr3:uid="{B61EC61C-7926-4DEE-B16E-B2E4A9500978}" name="Diff2"/>
    <tableColumn id="12" xr3:uid="{12910E0D-929E-4C91-BE1A-C162610D95F7}" name="Time to Gate clos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157E9-3F4D-49AD-B478-ED1D73DB5EBB}">
  <dimension ref="B1:V172"/>
  <sheetViews>
    <sheetView tabSelected="1" workbookViewId="0">
      <selection activeCell="N6" sqref="N6"/>
    </sheetView>
  </sheetViews>
  <sheetFormatPr defaultRowHeight="15" x14ac:dyDescent="0.25"/>
  <cols>
    <col min="2" max="2" width="9.42578125" bestFit="1" customWidth="1"/>
    <col min="3" max="3" width="10.85546875" bestFit="1" customWidth="1"/>
    <col min="4" max="4" width="9.85546875" bestFit="1" customWidth="1"/>
    <col min="5" max="5" width="32.140625" bestFit="1" customWidth="1"/>
    <col min="6" max="6" width="23.7109375" bestFit="1" customWidth="1"/>
    <col min="7" max="7" width="13.7109375" bestFit="1" customWidth="1"/>
    <col min="8" max="8" width="12.42578125" bestFit="1" customWidth="1"/>
    <col min="9" max="9" width="6.7109375" bestFit="1" customWidth="1"/>
    <col min="10" max="10" width="11.85546875" bestFit="1" customWidth="1"/>
    <col min="11" max="11" width="9" bestFit="1" customWidth="1"/>
    <col min="12" max="12" width="7.7109375" bestFit="1" customWidth="1"/>
    <col min="13" max="13" width="20.28515625" bestFit="1" customWidth="1"/>
    <col min="14" max="14" width="14.7109375" bestFit="1" customWidth="1"/>
    <col min="15" max="15" width="26.5703125" bestFit="1" customWidth="1"/>
    <col min="16" max="16" width="12.85546875" bestFit="1" customWidth="1"/>
    <col min="17" max="17" width="4.5703125" bestFit="1" customWidth="1"/>
    <col min="18" max="18" width="8.7109375" bestFit="1" customWidth="1"/>
    <col min="19" max="19" width="10.42578125" bestFit="1" customWidth="1"/>
    <col min="21" max="21" width="12.42578125" bestFit="1" customWidth="1"/>
    <col min="22" max="22" width="4.5703125" bestFit="1" customWidth="1"/>
  </cols>
  <sheetData>
    <row r="1" spans="2:22" x14ac:dyDescent="0.25">
      <c r="I1" s="5">
        <f>AVERAGE(Table1[Diff])</f>
        <v>33.265060240963855</v>
      </c>
      <c r="L1" s="5">
        <f>AVERAGE(Table1[Diff2])</f>
        <v>19.710843373493969</v>
      </c>
    </row>
    <row r="2" spans="2:22" x14ac:dyDescent="0.25">
      <c r="G2" t="s">
        <v>41</v>
      </c>
      <c r="H2" t="s">
        <v>41</v>
      </c>
      <c r="J2" t="s">
        <v>42</v>
      </c>
      <c r="K2" t="s">
        <v>42</v>
      </c>
      <c r="O2" s="6" t="s">
        <v>43</v>
      </c>
      <c r="S2" s="11" t="s">
        <v>44</v>
      </c>
      <c r="T2" s="11" t="s">
        <v>35</v>
      </c>
    </row>
    <row r="3" spans="2:22" x14ac:dyDescent="0.25">
      <c r="B3" t="s">
        <v>0</v>
      </c>
      <c r="C3" t="s">
        <v>10</v>
      </c>
      <c r="D3" t="s">
        <v>1</v>
      </c>
      <c r="E3" t="s">
        <v>2</v>
      </c>
      <c r="F3" t="s">
        <v>3</v>
      </c>
      <c r="G3" t="s">
        <v>7</v>
      </c>
      <c r="H3" t="s">
        <v>4</v>
      </c>
      <c r="I3" t="s">
        <v>9</v>
      </c>
      <c r="J3" t="s">
        <v>8</v>
      </c>
      <c r="K3" t="s">
        <v>5</v>
      </c>
      <c r="L3" t="s">
        <v>15</v>
      </c>
      <c r="M3" t="s">
        <v>24</v>
      </c>
      <c r="O3" t="s">
        <v>18</v>
      </c>
      <c r="P3">
        <f>COUNTA(Table1[Diff])</f>
        <v>166</v>
      </c>
      <c r="S3" s="11"/>
      <c r="T3" s="11">
        <f>AVERAGEIF(Table1[Day],T2,Table1[Diff])</f>
        <v>38.826086956521735</v>
      </c>
    </row>
    <row r="4" spans="2:22" x14ac:dyDescent="0.25">
      <c r="O4" t="s">
        <v>12</v>
      </c>
      <c r="P4">
        <f>COUNTIF(Table1[Diff], "&lt;0")</f>
        <v>9</v>
      </c>
      <c r="Q4" s="4">
        <f>P4/$P$3</f>
        <v>5.4216867469879519E-2</v>
      </c>
      <c r="S4" s="11"/>
      <c r="T4" s="11"/>
      <c r="V4" s="4"/>
    </row>
    <row r="5" spans="2:22" x14ac:dyDescent="0.25">
      <c r="O5" t="s">
        <v>13</v>
      </c>
      <c r="P5">
        <f>COUNTIFS(Table1[Diff2], "&gt;=0", Table1[Diff2], "&lt;=10")</f>
        <v>19</v>
      </c>
      <c r="Q5" s="4">
        <f t="shared" ref="Q5:Q8" si="0">P5/$P$3</f>
        <v>0.1144578313253012</v>
      </c>
      <c r="S5" s="11" t="s">
        <v>45</v>
      </c>
      <c r="T5" s="11" t="s">
        <v>35</v>
      </c>
      <c r="V5" s="4"/>
    </row>
    <row r="6" spans="2:22" ht="15.75" thickBot="1" x14ac:dyDescent="0.3">
      <c r="O6" t="s">
        <v>14</v>
      </c>
      <c r="P6">
        <f>COUNTIFS(Table1[Diff], "&gt;10", Table1[Diff], "&lt;=30")</f>
        <v>53</v>
      </c>
      <c r="Q6" s="4">
        <f t="shared" si="0"/>
        <v>0.31927710843373491</v>
      </c>
      <c r="S6" s="11"/>
      <c r="T6" s="11">
        <f>AVERAGEIF(Table1[Day],T5,Table1[Diff2])</f>
        <v>23.478260869565194</v>
      </c>
      <c r="V6" s="4"/>
    </row>
    <row r="7" spans="2:22" ht="15.75" thickBot="1" x14ac:dyDescent="0.3">
      <c r="B7" s="1">
        <f t="shared" ref="B7:B17" si="1">B8+1</f>
        <v>45890</v>
      </c>
      <c r="C7" s="7" t="str">
        <f t="shared" ref="C7" si="2">TEXT(B7, "dddd")</f>
        <v>Thursday</v>
      </c>
      <c r="D7" s="7" t="s">
        <v>6</v>
      </c>
      <c r="E7" s="7" t="s">
        <v>33</v>
      </c>
      <c r="F7" s="7" t="s">
        <v>34</v>
      </c>
      <c r="G7" s="8">
        <v>6.9444444444444448E-2</v>
      </c>
      <c r="H7" s="8">
        <v>9.0277777777777776E-2</v>
      </c>
      <c r="I7" s="9">
        <f t="shared" ref="I7" si="3">IF(H7-G7&lt;0, -(G7-H7), H7-G7)*1440</f>
        <v>29.999999999999993</v>
      </c>
      <c r="J7" s="8">
        <v>0.26041666666666669</v>
      </c>
      <c r="K7" s="8">
        <v>0.27638888888888891</v>
      </c>
      <c r="L7" s="9">
        <f t="shared" ref="L7" si="4">IF(K7-J7&lt;0, -(J7-K7), K7-J7)*1440</f>
        <v>23</v>
      </c>
      <c r="M7" s="10">
        <f>($Q$19-Table1[[#This Row],[Arrival]])*1440</f>
        <v>92</v>
      </c>
      <c r="O7" t="s">
        <v>16</v>
      </c>
      <c r="P7">
        <f>COUNTIFS(Table1[Diff], "&gt;=30", Table1[Diff], "&lt;=45")</f>
        <v>34</v>
      </c>
      <c r="Q7" s="4">
        <f t="shared" si="0"/>
        <v>0.20481927710843373</v>
      </c>
      <c r="V7" s="4"/>
    </row>
    <row r="8" spans="2:22" ht="15.75" thickBot="1" x14ac:dyDescent="0.3">
      <c r="B8" s="1">
        <f t="shared" si="1"/>
        <v>45889</v>
      </c>
      <c r="C8" s="7" t="str">
        <f t="shared" ref="C8:C17" si="5">TEXT(B8, "dddd")</f>
        <v>Wednesday</v>
      </c>
      <c r="D8" s="7" t="s">
        <v>6</v>
      </c>
      <c r="E8" s="7" t="s">
        <v>33</v>
      </c>
      <c r="F8" s="7" t="s">
        <v>34</v>
      </c>
      <c r="G8" s="8">
        <v>6.9444444444444448E-2</v>
      </c>
      <c r="H8" s="8">
        <v>9.8611111111111108E-2</v>
      </c>
      <c r="I8" s="9">
        <f t="shared" ref="I8:I22" si="6">IF(H8-G8&lt;0, -(G8-H8), H8-G8)*1440</f>
        <v>41.999999999999993</v>
      </c>
      <c r="J8" s="8">
        <v>0.26041666666666669</v>
      </c>
      <c r="K8" s="8">
        <v>0.27569444444444446</v>
      </c>
      <c r="L8" s="9">
        <f t="shared" ref="L8" si="7">IF(K8-J8&lt;0, -(J8-K8), K8-J8)*1440</f>
        <v>22</v>
      </c>
      <c r="M8" s="10">
        <f>($Q$19-Table1[[#This Row],[Arrival]])*1440</f>
        <v>92.999999999999986</v>
      </c>
      <c r="O8" t="s">
        <v>17</v>
      </c>
      <c r="P8">
        <f>COUNTIF(Table1[Diff], "&gt;45")</f>
        <v>45</v>
      </c>
      <c r="Q8" s="4">
        <f t="shared" si="0"/>
        <v>0.27108433734939757</v>
      </c>
      <c r="V8" s="4"/>
    </row>
    <row r="9" spans="2:22" ht="15.75" thickBot="1" x14ac:dyDescent="0.3">
      <c r="B9" s="1">
        <f t="shared" si="1"/>
        <v>45888</v>
      </c>
      <c r="C9" s="7" t="str">
        <f t="shared" si="5"/>
        <v>Tuesday</v>
      </c>
      <c r="D9" s="7" t="s">
        <v>6</v>
      </c>
      <c r="E9" s="7" t="s">
        <v>33</v>
      </c>
      <c r="F9" s="7" t="s">
        <v>34</v>
      </c>
      <c r="G9" s="8">
        <v>6.9444444444444448E-2</v>
      </c>
      <c r="H9" s="8">
        <v>9.5138888888888884E-2</v>
      </c>
      <c r="I9" s="9">
        <f t="shared" si="6"/>
        <v>36.999999999999986</v>
      </c>
      <c r="J9" s="8">
        <v>0.26041666666666669</v>
      </c>
      <c r="K9" s="8">
        <v>0.27291666666666664</v>
      </c>
      <c r="L9" s="9">
        <f t="shared" ref="L9" si="8">IF(K9-J9&lt;0, -(J9-K9), K9-J9)*1440</f>
        <v>17.999999999999936</v>
      </c>
      <c r="M9" s="10">
        <f>($Q$19-Table1[[#This Row],[Arrival]])*1440</f>
        <v>97.000000000000057</v>
      </c>
    </row>
    <row r="10" spans="2:22" ht="15.75" thickBot="1" x14ac:dyDescent="0.3">
      <c r="B10" s="1">
        <f t="shared" si="1"/>
        <v>45887</v>
      </c>
      <c r="C10" s="7" t="str">
        <f t="shared" si="5"/>
        <v>Monday</v>
      </c>
      <c r="D10" s="7" t="s">
        <v>6</v>
      </c>
      <c r="E10" s="7" t="s">
        <v>33</v>
      </c>
      <c r="F10" s="7" t="s">
        <v>34</v>
      </c>
      <c r="G10" s="8">
        <v>6.9444444444444448E-2</v>
      </c>
      <c r="H10" s="8">
        <v>0.12847222222222221</v>
      </c>
      <c r="I10" s="9">
        <f t="shared" si="6"/>
        <v>84.999999999999972</v>
      </c>
      <c r="J10" s="8">
        <v>0.26041666666666669</v>
      </c>
      <c r="K10" s="8">
        <v>0.3034722222222222</v>
      </c>
      <c r="L10" s="9">
        <f t="shared" ref="L10" si="9">IF(K10-J10&lt;0, -(J10-K10), K10-J10)*1440</f>
        <v>61.999999999999943</v>
      </c>
      <c r="M10" s="10">
        <f>($Q$19-Table1[[#This Row],[Arrival]])*1440</f>
        <v>53.00000000000005</v>
      </c>
      <c r="N10" s="3"/>
      <c r="O10" s="6" t="s">
        <v>11</v>
      </c>
    </row>
    <row r="11" spans="2:22" ht="15.75" thickBot="1" x14ac:dyDescent="0.3">
      <c r="B11" s="1">
        <f t="shared" si="1"/>
        <v>45886</v>
      </c>
      <c r="C11" s="7" t="str">
        <f t="shared" si="5"/>
        <v>Sunday</v>
      </c>
      <c r="D11" s="7" t="s">
        <v>6</v>
      </c>
      <c r="E11" s="7" t="s">
        <v>33</v>
      </c>
      <c r="F11" s="7" t="s">
        <v>34</v>
      </c>
      <c r="G11" s="8">
        <v>6.9444444444444448E-2</v>
      </c>
      <c r="H11" s="8">
        <v>0.18055555555555555</v>
      </c>
      <c r="I11" s="9">
        <f t="shared" si="6"/>
        <v>160</v>
      </c>
      <c r="J11" s="8">
        <v>0.26041666666666669</v>
      </c>
      <c r="K11" s="8">
        <v>0.34722222222222221</v>
      </c>
      <c r="L11" s="9">
        <f t="shared" ref="L11" si="10">IF(K11-J11&lt;0, -(J11-K11), K11-J11)*1440</f>
        <v>124.99999999999996</v>
      </c>
      <c r="M11" s="10">
        <f>($Q$19-Table1[[#This Row],[Arrival]])*1440</f>
        <v>-9.9999999999999645</v>
      </c>
      <c r="O11" t="s">
        <v>18</v>
      </c>
      <c r="P11">
        <f>COUNTA(Table1[Diff2])</f>
        <v>166</v>
      </c>
      <c r="R11" t="s">
        <v>19</v>
      </c>
      <c r="S11" t="s">
        <v>20</v>
      </c>
    </row>
    <row r="12" spans="2:22" ht="15.75" thickBot="1" x14ac:dyDescent="0.3">
      <c r="B12" s="1">
        <f t="shared" si="1"/>
        <v>45885</v>
      </c>
      <c r="C12" s="7" t="str">
        <f t="shared" si="5"/>
        <v>Saturday</v>
      </c>
      <c r="D12" s="7" t="s">
        <v>6</v>
      </c>
      <c r="E12" s="7" t="s">
        <v>33</v>
      </c>
      <c r="F12" s="7" t="s">
        <v>34</v>
      </c>
      <c r="G12" s="8">
        <v>6.9444444444444448E-2</v>
      </c>
      <c r="H12" s="8">
        <v>0.11736111111111111</v>
      </c>
      <c r="I12" s="9">
        <f t="shared" si="6"/>
        <v>69</v>
      </c>
      <c r="J12" s="8">
        <v>0.26041666666666669</v>
      </c>
      <c r="K12" s="8">
        <v>0.29375000000000001</v>
      </c>
      <c r="L12" s="9">
        <f t="shared" ref="L12" si="11">IF(K12-J12&lt;0, -(J12-K12), K12-J12)*1440</f>
        <v>47.999999999999986</v>
      </c>
      <c r="M12" s="10">
        <f>($Q$19-Table1[[#This Row],[Arrival]])*1440</f>
        <v>67</v>
      </c>
      <c r="O12" t="s">
        <v>12</v>
      </c>
      <c r="P12">
        <f>COUNTIF(Table1[Diff2], "&lt;0")</f>
        <v>48</v>
      </c>
      <c r="Q12" s="4">
        <f>P12/$P$11</f>
        <v>0.28915662650602408</v>
      </c>
      <c r="R12">
        <v>0</v>
      </c>
      <c r="S12">
        <f>130-R12</f>
        <v>130</v>
      </c>
      <c r="V12" s="4"/>
    </row>
    <row r="13" spans="2:22" ht="15.75" thickBot="1" x14ac:dyDescent="0.3">
      <c r="B13" s="1">
        <f t="shared" si="1"/>
        <v>45884</v>
      </c>
      <c r="C13" s="7" t="str">
        <f t="shared" si="5"/>
        <v>Friday</v>
      </c>
      <c r="D13" s="7" t="s">
        <v>6</v>
      </c>
      <c r="E13" s="7" t="s">
        <v>33</v>
      </c>
      <c r="F13" s="7" t="s">
        <v>34</v>
      </c>
      <c r="G13" s="8">
        <v>6.9444444444444448E-2</v>
      </c>
      <c r="H13" s="8">
        <v>0.11597222222222223</v>
      </c>
      <c r="I13" s="9">
        <f t="shared" si="6"/>
        <v>67</v>
      </c>
      <c r="J13" s="8">
        <v>0.26041666666666669</v>
      </c>
      <c r="K13" s="8">
        <v>0.29236111111111113</v>
      </c>
      <c r="L13" s="9">
        <f t="shared" ref="L13:L14" si="12">IF(K13-J13&lt;0, -(J13-K13), K13-J13)*1440</f>
        <v>46</v>
      </c>
      <c r="M13" s="10">
        <f>($Q$19-Table1[[#This Row],[Arrival]])*1440</f>
        <v>69</v>
      </c>
      <c r="O13" t="s">
        <v>13</v>
      </c>
      <c r="P13">
        <f>COUNTIFS(Table1[Diff2], "&gt;=0", Table1[Diff2], "&lt;=10")</f>
        <v>19</v>
      </c>
      <c r="Q13" s="4">
        <f>P13/$P$11</f>
        <v>0.1144578313253012</v>
      </c>
      <c r="R13">
        <v>5</v>
      </c>
      <c r="S13">
        <f>130-R13</f>
        <v>125</v>
      </c>
      <c r="V13" s="4"/>
    </row>
    <row r="14" spans="2:22" ht="15.75" thickBot="1" x14ac:dyDescent="0.3">
      <c r="B14" s="1">
        <f t="shared" si="1"/>
        <v>45883</v>
      </c>
      <c r="C14" s="7" t="str">
        <f t="shared" si="5"/>
        <v>Thursday</v>
      </c>
      <c r="D14" s="7" t="s">
        <v>6</v>
      </c>
      <c r="E14" s="7" t="s">
        <v>33</v>
      </c>
      <c r="F14" s="7" t="s">
        <v>34</v>
      </c>
      <c r="G14" s="8">
        <v>6.9444444444444448E-2</v>
      </c>
      <c r="H14" s="8">
        <v>0.10347222222222222</v>
      </c>
      <c r="I14" s="9">
        <f t="shared" si="6"/>
        <v>48.999999999999986</v>
      </c>
      <c r="J14" s="8">
        <v>0.26041666666666669</v>
      </c>
      <c r="K14" s="8">
        <v>0.27638888888888891</v>
      </c>
      <c r="L14" s="9">
        <f t="shared" si="12"/>
        <v>23</v>
      </c>
      <c r="M14" s="10">
        <f>($Q$19-Table1[[#This Row],[Arrival]])*1440</f>
        <v>92</v>
      </c>
      <c r="O14" t="s">
        <v>14</v>
      </c>
      <c r="P14">
        <f>COUNTIFS(Table1[Diff2], "&gt;10", Table1[Diff2], "&lt;=30")</f>
        <v>48</v>
      </c>
      <c r="Q14" s="4">
        <f>P14/$P$11</f>
        <v>0.28915662650602408</v>
      </c>
      <c r="R14">
        <v>20</v>
      </c>
      <c r="S14">
        <f>130-R14</f>
        <v>110</v>
      </c>
      <c r="V14" s="4"/>
    </row>
    <row r="15" spans="2:22" ht="15.75" thickBot="1" x14ac:dyDescent="0.3">
      <c r="B15" s="1">
        <f t="shared" si="1"/>
        <v>45882</v>
      </c>
      <c r="C15" s="7" t="str">
        <f t="shared" si="5"/>
        <v>Wednesday</v>
      </c>
      <c r="D15" s="7" t="s">
        <v>6</v>
      </c>
      <c r="E15" s="7" t="s">
        <v>33</v>
      </c>
      <c r="F15" s="7" t="s">
        <v>34</v>
      </c>
      <c r="G15" s="8">
        <v>6.9444444444444448E-2</v>
      </c>
      <c r="H15" s="8">
        <v>0.1111111111111111</v>
      </c>
      <c r="I15" s="9">
        <f t="shared" si="6"/>
        <v>59.999999999999986</v>
      </c>
      <c r="J15" s="8">
        <v>0.26041666666666669</v>
      </c>
      <c r="K15" s="8">
        <v>0.28611111111111109</v>
      </c>
      <c r="L15" s="9">
        <f>IF(K15-J15&lt;0, -(J15-K15), K15-J15)*1440</f>
        <v>36.99999999999995</v>
      </c>
      <c r="M15" s="10">
        <f>($Q$19-Table1[[#This Row],[Arrival]])*1440</f>
        <v>78.000000000000043</v>
      </c>
      <c r="O15" t="s">
        <v>16</v>
      </c>
      <c r="P15">
        <f>COUNTIFS(Table1[Diff2], "&gt;=30", Table1[Diff2], "&lt;=45")</f>
        <v>23</v>
      </c>
      <c r="Q15" s="4">
        <f>P15/$P$11</f>
        <v>0.13855421686746988</v>
      </c>
      <c r="R15">
        <f>(30+45)/2</f>
        <v>37.5</v>
      </c>
      <c r="S15">
        <f t="shared" ref="S15" si="13">130-R15</f>
        <v>92.5</v>
      </c>
      <c r="V15" s="4"/>
    </row>
    <row r="16" spans="2:22" ht="15.75" thickBot="1" x14ac:dyDescent="0.3">
      <c r="B16" s="1">
        <f t="shared" si="1"/>
        <v>45881</v>
      </c>
      <c r="C16" s="7" t="str">
        <f t="shared" si="5"/>
        <v>Tuesday</v>
      </c>
      <c r="D16" s="7" t="s">
        <v>6</v>
      </c>
      <c r="E16" s="7" t="s">
        <v>33</v>
      </c>
      <c r="F16" s="7" t="s">
        <v>34</v>
      </c>
      <c r="G16" s="8">
        <v>6.9444444444444448E-2</v>
      </c>
      <c r="H16" s="8">
        <v>0.10902777777777778</v>
      </c>
      <c r="I16" s="9">
        <f t="shared" si="6"/>
        <v>57</v>
      </c>
      <c r="J16" s="8">
        <v>0.26041666666666669</v>
      </c>
      <c r="K16" s="8">
        <v>0.28749999999999998</v>
      </c>
      <c r="L16" s="9">
        <f t="shared" ref="L16" si="14">IF(K16-J16&lt;0, -(J16-K16), K16-J16)*1440</f>
        <v>38.999999999999943</v>
      </c>
      <c r="M16" s="10">
        <f>($Q$19-Table1[[#This Row],[Arrival]])*1440</f>
        <v>76.000000000000057</v>
      </c>
      <c r="O16" t="s">
        <v>17</v>
      </c>
      <c r="P16">
        <f>COUNTIF(Table1[Diff2], "&gt;45")</f>
        <v>30</v>
      </c>
      <c r="Q16" s="4">
        <f>P16/$P$11</f>
        <v>0.18072289156626506</v>
      </c>
      <c r="R16">
        <v>45</v>
      </c>
      <c r="S16">
        <f>130-R16</f>
        <v>85</v>
      </c>
      <c r="V16" s="4"/>
    </row>
    <row r="17" spans="2:17" ht="15.75" thickBot="1" x14ac:dyDescent="0.3">
      <c r="B17" s="1">
        <f t="shared" si="1"/>
        <v>45880</v>
      </c>
      <c r="C17" s="7" t="str">
        <f t="shared" si="5"/>
        <v>Monday</v>
      </c>
      <c r="D17" s="7" t="s">
        <v>6</v>
      </c>
      <c r="E17" s="7" t="s">
        <v>33</v>
      </c>
      <c r="F17" s="7" t="s">
        <v>34</v>
      </c>
      <c r="G17" s="8">
        <v>6.9444444444444448E-2</v>
      </c>
      <c r="H17" s="8">
        <v>8.4027777777777785E-2</v>
      </c>
      <c r="I17" s="9">
        <f t="shared" si="6"/>
        <v>21.000000000000007</v>
      </c>
      <c r="J17" s="8">
        <v>0.26041666666666669</v>
      </c>
      <c r="K17" s="8">
        <v>0.2673611111111111</v>
      </c>
      <c r="L17" s="9">
        <f t="shared" ref="L17" si="15">IF(K17-J17&lt;0, -(J17-K17), K17-J17)*1440</f>
        <v>9.9999999999999645</v>
      </c>
      <c r="M17" s="10">
        <f>($Q$19-Table1[[#This Row],[Arrival]])*1440</f>
        <v>105.00000000000003</v>
      </c>
    </row>
    <row r="18" spans="2:17" ht="15.75" thickBot="1" x14ac:dyDescent="0.3">
      <c r="B18" s="1">
        <f t="shared" ref="B18:B23" si="16">B19+1</f>
        <v>45879</v>
      </c>
      <c r="C18" s="7" t="str">
        <f t="shared" ref="C18:C23" si="17">TEXT(B18, "dddd")</f>
        <v>Sunday</v>
      </c>
      <c r="D18" s="7" t="s">
        <v>6</v>
      </c>
      <c r="E18" s="7" t="s">
        <v>33</v>
      </c>
      <c r="F18" s="7" t="s">
        <v>34</v>
      </c>
      <c r="G18" s="8">
        <v>6.9444444444444448E-2</v>
      </c>
      <c r="H18" s="8">
        <v>0.12222222222222222</v>
      </c>
      <c r="I18" s="9">
        <f t="shared" si="6"/>
        <v>75.999999999999986</v>
      </c>
      <c r="J18" s="8">
        <v>0.26041666666666669</v>
      </c>
      <c r="K18" s="8">
        <v>0.30625000000000002</v>
      </c>
      <c r="L18" s="9">
        <f t="shared" ref="L18" si="18">IF(K18-J18&lt;0, -(J18-K18), K18-J18)*1440</f>
        <v>66</v>
      </c>
      <c r="M18" s="10">
        <f>($Q$19-Table1[[#This Row],[Arrival]])*1440</f>
        <v>48.999999999999986</v>
      </c>
      <c r="O18" t="s">
        <v>21</v>
      </c>
      <c r="P18" t="s">
        <v>22</v>
      </c>
    </row>
    <row r="19" spans="2:17" ht="15.75" thickBot="1" x14ac:dyDescent="0.3">
      <c r="B19" s="1">
        <f t="shared" si="16"/>
        <v>45878</v>
      </c>
      <c r="C19" s="7" t="str">
        <f t="shared" si="17"/>
        <v>Saturday</v>
      </c>
      <c r="D19" s="7" t="s">
        <v>6</v>
      </c>
      <c r="E19" s="7" t="s">
        <v>33</v>
      </c>
      <c r="F19" s="7" t="s">
        <v>34</v>
      </c>
      <c r="G19" s="8">
        <v>6.9444444444444448E-2</v>
      </c>
      <c r="H19" s="8">
        <v>9.7916666666666666E-2</v>
      </c>
      <c r="I19" s="9">
        <f t="shared" si="6"/>
        <v>40.999999999999993</v>
      </c>
      <c r="J19" s="8">
        <v>0.26041666666666669</v>
      </c>
      <c r="K19" s="8">
        <v>0.27638888888888891</v>
      </c>
      <c r="L19" s="9">
        <f t="shared" ref="L19" si="19">IF(K19-J19&lt;0, -(J19-K19), K19-J19)*1440</f>
        <v>23</v>
      </c>
      <c r="M19" s="10">
        <f>($Q$19-Table1[[#This Row],[Arrival]])*1440</f>
        <v>92</v>
      </c>
      <c r="O19" t="s">
        <v>23</v>
      </c>
      <c r="P19" t="s">
        <v>46</v>
      </c>
      <c r="Q19" s="8">
        <v>0.34027777777777779</v>
      </c>
    </row>
    <row r="20" spans="2:17" ht="15.75" thickBot="1" x14ac:dyDescent="0.3">
      <c r="B20" s="1">
        <f t="shared" si="16"/>
        <v>45877</v>
      </c>
      <c r="C20" s="7" t="str">
        <f t="shared" si="17"/>
        <v>Friday</v>
      </c>
      <c r="D20" s="7" t="s">
        <v>6</v>
      </c>
      <c r="E20" s="7" t="s">
        <v>33</v>
      </c>
      <c r="F20" s="7" t="s">
        <v>34</v>
      </c>
      <c r="G20" s="8">
        <v>6.9444444444444448E-2</v>
      </c>
      <c r="H20" s="8">
        <v>9.4444444444444442E-2</v>
      </c>
      <c r="I20" s="9">
        <f t="shared" si="6"/>
        <v>35.999999999999993</v>
      </c>
      <c r="J20" s="8">
        <v>0.26041666666666669</v>
      </c>
      <c r="K20" s="8">
        <v>0.28125</v>
      </c>
      <c r="L20" s="9">
        <f t="shared" ref="L20:L22" si="20">IF(K20-J20&lt;0, -(J20-K20), K20-J20)*1440</f>
        <v>29.999999999999972</v>
      </c>
      <c r="M20" s="10">
        <f>($Q$19-Table1[[#This Row],[Arrival]])*1440</f>
        <v>85.000000000000014</v>
      </c>
    </row>
    <row r="21" spans="2:17" ht="15.75" thickBot="1" x14ac:dyDescent="0.3">
      <c r="B21" s="1">
        <f t="shared" si="16"/>
        <v>45876</v>
      </c>
      <c r="C21" s="7" t="str">
        <f t="shared" si="17"/>
        <v>Thursday</v>
      </c>
      <c r="D21" s="7" t="s">
        <v>6</v>
      </c>
      <c r="E21" s="7" t="s">
        <v>33</v>
      </c>
      <c r="F21" s="7" t="s">
        <v>34</v>
      </c>
      <c r="G21" s="8">
        <v>6.9444444444444448E-2</v>
      </c>
      <c r="H21" s="8">
        <v>9.6527777777777782E-2</v>
      </c>
      <c r="I21" s="9">
        <f t="shared" si="6"/>
        <v>39</v>
      </c>
      <c r="J21" s="8">
        <v>0.26041666666666669</v>
      </c>
      <c r="K21" s="8">
        <v>0.27638888888888891</v>
      </c>
      <c r="L21" s="9">
        <f t="shared" si="20"/>
        <v>23</v>
      </c>
      <c r="M21" s="10">
        <f>($Q$19-Table1[[#This Row],[Arrival]])*1440</f>
        <v>92</v>
      </c>
      <c r="O21" s="6" t="s">
        <v>25</v>
      </c>
    </row>
    <row r="22" spans="2:17" ht="15.75" thickBot="1" x14ac:dyDescent="0.3">
      <c r="B22" s="1">
        <f t="shared" si="16"/>
        <v>45875</v>
      </c>
      <c r="C22" s="7" t="str">
        <f t="shared" si="17"/>
        <v>Wednesday</v>
      </c>
      <c r="D22" s="7" t="s">
        <v>6</v>
      </c>
      <c r="E22" s="7" t="s">
        <v>33</v>
      </c>
      <c r="F22" s="7" t="s">
        <v>34</v>
      </c>
      <c r="G22" s="8">
        <v>6.9444444444444448E-2</v>
      </c>
      <c r="H22" s="8">
        <v>9.583333333333334E-2</v>
      </c>
      <c r="I22" s="9">
        <f t="shared" si="6"/>
        <v>38.000000000000007</v>
      </c>
      <c r="J22" s="8">
        <v>0.26041666666666669</v>
      </c>
      <c r="K22" s="8">
        <v>0.26527777777777778</v>
      </c>
      <c r="L22" s="9">
        <f t="shared" si="20"/>
        <v>6.9999999999999751</v>
      </c>
      <c r="M22" s="10">
        <f>($Q$19-Table1[[#This Row],[Arrival]])*1440</f>
        <v>108.00000000000001</v>
      </c>
      <c r="O22" t="s">
        <v>18</v>
      </c>
      <c r="P22">
        <f>COUNTA(Table1[Time to Gate close])</f>
        <v>166</v>
      </c>
    </row>
    <row r="23" spans="2:17" ht="15.75" thickBot="1" x14ac:dyDescent="0.3">
      <c r="B23" s="1">
        <f t="shared" si="16"/>
        <v>45874</v>
      </c>
      <c r="C23" s="7" t="str">
        <f t="shared" si="17"/>
        <v>Tuesday</v>
      </c>
      <c r="D23" s="7" t="s">
        <v>6</v>
      </c>
      <c r="E23" s="7" t="s">
        <v>33</v>
      </c>
      <c r="F23" s="7" t="s">
        <v>34</v>
      </c>
      <c r="G23" s="8">
        <v>6.9444444444444448E-2</v>
      </c>
      <c r="H23" s="8">
        <v>0.11944444444444445</v>
      </c>
      <c r="I23" s="9">
        <f t="shared" ref="I23:I31" si="21">IF(H23-G23&lt;0, -(G23-H23), H23-G23)*1440</f>
        <v>72</v>
      </c>
      <c r="J23" s="8">
        <v>0.26041666666666669</v>
      </c>
      <c r="K23" s="8">
        <v>0.28402777777777777</v>
      </c>
      <c r="L23" s="9">
        <f t="shared" ref="L23" si="22">IF(K23-J23&lt;0, -(J23-K23), K23-J23)*1440</f>
        <v>33.999999999999957</v>
      </c>
      <c r="M23" s="10">
        <f>($Q$19-Table1[[#This Row],[Arrival]])*1440</f>
        <v>81.000000000000028</v>
      </c>
      <c r="O23" t="s">
        <v>26</v>
      </c>
      <c r="P23">
        <f>COUNTIFS(Table1[Time to Gate close], "&gt;=120")</f>
        <v>41</v>
      </c>
      <c r="Q23" s="4">
        <f t="shared" ref="Q23:Q28" si="23">P23/$P$22</f>
        <v>0.24698795180722891</v>
      </c>
    </row>
    <row r="24" spans="2:17" ht="15.75" thickBot="1" x14ac:dyDescent="0.3">
      <c r="B24" s="1">
        <f t="shared" ref="B24:B27" si="24">B25+1</f>
        <v>45873</v>
      </c>
      <c r="C24" s="7" t="str">
        <f>TEXT(B24, "dddd")</f>
        <v>Monday</v>
      </c>
      <c r="D24" s="7" t="s">
        <v>6</v>
      </c>
      <c r="E24" s="7" t="s">
        <v>33</v>
      </c>
      <c r="F24" s="7" t="s">
        <v>34</v>
      </c>
      <c r="G24" s="8">
        <v>6.9444444444444448E-2</v>
      </c>
      <c r="H24" s="8">
        <v>0.11805555555555555</v>
      </c>
      <c r="I24" s="9">
        <f t="shared" si="21"/>
        <v>69.999999999999986</v>
      </c>
      <c r="J24" s="8">
        <v>0.26041666666666669</v>
      </c>
      <c r="K24" s="8">
        <v>0.28958333333333336</v>
      </c>
      <c r="L24" s="9">
        <f t="shared" ref="L24" si="25">IF(K24-J24&lt;0, -(J24-K24), K24-J24)*1440</f>
        <v>42.000000000000014</v>
      </c>
      <c r="M24" s="10">
        <f>($Q$19-Table1[[#This Row],[Arrival]])*1440</f>
        <v>72.999999999999986</v>
      </c>
      <c r="O24" t="s">
        <v>27</v>
      </c>
      <c r="P24">
        <f>COUNTIFS(Table1[Time to Gate close], "&gt;=90", Table1[Time to Gate close], "&lt;120")</f>
        <v>64</v>
      </c>
      <c r="Q24" s="4">
        <f t="shared" si="23"/>
        <v>0.38554216867469882</v>
      </c>
    </row>
    <row r="25" spans="2:17" ht="15.75" thickBot="1" x14ac:dyDescent="0.3">
      <c r="B25" s="1">
        <f t="shared" si="24"/>
        <v>45872</v>
      </c>
      <c r="C25" s="7" t="str">
        <f t="shared" ref="C25:C27" si="26">TEXT(B25, "dddd")</f>
        <v>Sunday</v>
      </c>
      <c r="D25" s="7" t="s">
        <v>6</v>
      </c>
      <c r="E25" s="7" t="s">
        <v>33</v>
      </c>
      <c r="F25" s="7" t="s">
        <v>34</v>
      </c>
      <c r="G25" s="8">
        <v>6.9444444444444448E-2</v>
      </c>
      <c r="H25" s="8">
        <v>0.12638888888888888</v>
      </c>
      <c r="I25" s="9">
        <f t="shared" si="21"/>
        <v>81.999999999999986</v>
      </c>
      <c r="J25" s="8">
        <v>0.26041666666666669</v>
      </c>
      <c r="K25" s="8">
        <v>0.30069444444444443</v>
      </c>
      <c r="L25" s="9">
        <f t="shared" ref="L25" si="27">IF(K25-J25&lt;0, -(J25-K25), K25-J25)*1440</f>
        <v>57.999999999999957</v>
      </c>
      <c r="M25" s="10">
        <f>($Q$19-Table1[[#This Row],[Arrival]])*1440</f>
        <v>57.000000000000036</v>
      </c>
      <c r="O25" t="s">
        <v>28</v>
      </c>
      <c r="P25">
        <f>COUNTIFS(Table1[Time to Gate close], "&gt;=60", Table1[Time to Gate close], "&lt;90")</f>
        <v>40</v>
      </c>
      <c r="Q25" s="4">
        <f t="shared" si="23"/>
        <v>0.24096385542168675</v>
      </c>
    </row>
    <row r="26" spans="2:17" ht="15.75" thickBot="1" x14ac:dyDescent="0.3">
      <c r="B26" s="1">
        <f t="shared" si="24"/>
        <v>45871</v>
      </c>
      <c r="C26" s="7" t="str">
        <f t="shared" si="26"/>
        <v>Saturday</v>
      </c>
      <c r="D26" s="7" t="s">
        <v>6</v>
      </c>
      <c r="E26" s="7" t="s">
        <v>33</v>
      </c>
      <c r="F26" s="7" t="s">
        <v>34</v>
      </c>
      <c r="G26" s="8">
        <v>6.9444444444444448E-2</v>
      </c>
      <c r="H26" s="8">
        <v>0.11527777777777778</v>
      </c>
      <c r="I26" s="9">
        <f t="shared" si="21"/>
        <v>66</v>
      </c>
      <c r="J26" s="8">
        <v>0.26041666666666669</v>
      </c>
      <c r="K26" s="8">
        <v>0.29791666666666666</v>
      </c>
      <c r="L26" s="9">
        <f t="shared" ref="L26" si="28">IF(K26-J26&lt;0, -(J26-K26), K26-J26)*1440</f>
        <v>53.999999999999972</v>
      </c>
      <c r="M26" s="10">
        <f>($Q$19-Table1[[#This Row],[Arrival]])*1440</f>
        <v>61.000000000000021</v>
      </c>
      <c r="O26" t="s">
        <v>29</v>
      </c>
      <c r="P26">
        <f>COUNTIFS(Table1[Time to Gate close], "&gt;=30", Table1[Time to Gate close], "&lt;60")</f>
        <v>14</v>
      </c>
      <c r="Q26" s="4">
        <f t="shared" si="23"/>
        <v>8.4337349397590355E-2</v>
      </c>
    </row>
    <row r="27" spans="2:17" ht="15.75" thickBot="1" x14ac:dyDescent="0.3">
      <c r="B27" s="1">
        <f t="shared" si="24"/>
        <v>45870</v>
      </c>
      <c r="C27" s="7" t="str">
        <f t="shared" si="26"/>
        <v>Friday</v>
      </c>
      <c r="D27" s="7" t="s">
        <v>6</v>
      </c>
      <c r="E27" s="7" t="s">
        <v>33</v>
      </c>
      <c r="F27" s="7" t="s">
        <v>34</v>
      </c>
      <c r="G27" s="8">
        <v>6.9444444444444448E-2</v>
      </c>
      <c r="H27" s="8">
        <v>0.10416666666666667</v>
      </c>
      <c r="I27" s="9">
        <f t="shared" si="21"/>
        <v>50</v>
      </c>
      <c r="J27" s="8">
        <v>0.26041666666666669</v>
      </c>
      <c r="K27" s="8">
        <v>0.27916666666666667</v>
      </c>
      <c r="L27" s="9">
        <f t="shared" ref="L27" si="29">IF(K27-J27&lt;0, -(J27-K27), K27-J27)*1440</f>
        <v>26.999999999999986</v>
      </c>
      <c r="M27" s="10">
        <f>($Q$19-Table1[[#This Row],[Arrival]])*1440</f>
        <v>88</v>
      </c>
      <c r="O27" t="s">
        <v>30</v>
      </c>
      <c r="P27">
        <f>COUNTIFS(Table1[Time to Gate close], "&gt;=1", Table1[Time to Gate close], "&lt;30")</f>
        <v>5</v>
      </c>
      <c r="Q27" s="4">
        <f t="shared" si="23"/>
        <v>3.0120481927710843E-2</v>
      </c>
    </row>
    <row r="28" spans="2:17" ht="15.75" thickBot="1" x14ac:dyDescent="0.3">
      <c r="B28" s="1">
        <f t="shared" ref="B28:B30" si="30">B29+1</f>
        <v>45869</v>
      </c>
      <c r="C28" s="7" t="str">
        <f t="shared" ref="C28:C30" si="31">TEXT(B28, "dddd")</f>
        <v>Thursday</v>
      </c>
      <c r="D28" s="7" t="s">
        <v>6</v>
      </c>
      <c r="E28" s="7" t="s">
        <v>33</v>
      </c>
      <c r="F28" s="7" t="s">
        <v>34</v>
      </c>
      <c r="G28" s="8">
        <v>6.9444444444444448E-2</v>
      </c>
      <c r="H28" s="8">
        <v>7.9166666666666663E-2</v>
      </c>
      <c r="I28" s="9">
        <f t="shared" si="21"/>
        <v>13.999999999999989</v>
      </c>
      <c r="J28" s="8">
        <v>0.26041666666666669</v>
      </c>
      <c r="K28" s="8">
        <v>0.26111111111111113</v>
      </c>
      <c r="L28" s="9">
        <f t="shared" ref="L28" si="32">IF(K28-J28&lt;0, -(J28-K28), K28-J28)*1440</f>
        <v>0.99999999999999645</v>
      </c>
      <c r="M28" s="10">
        <f>($Q$19-Table1[[#This Row],[Arrival]])*1440</f>
        <v>114</v>
      </c>
      <c r="O28" t="s">
        <v>31</v>
      </c>
      <c r="P28">
        <f>COUNTIFS(Table1[Time to Gate close], "&lt;=0")</f>
        <v>2</v>
      </c>
      <c r="Q28" s="4">
        <f t="shared" si="23"/>
        <v>1.2048192771084338E-2</v>
      </c>
    </row>
    <row r="29" spans="2:17" ht="15.75" thickBot="1" x14ac:dyDescent="0.3">
      <c r="B29" s="1">
        <f t="shared" si="30"/>
        <v>45868</v>
      </c>
      <c r="C29" s="7" t="str">
        <f t="shared" si="31"/>
        <v>Wednesday</v>
      </c>
      <c r="D29" s="7" t="s">
        <v>6</v>
      </c>
      <c r="E29" s="7" t="s">
        <v>33</v>
      </c>
      <c r="F29" s="7" t="s">
        <v>34</v>
      </c>
      <c r="G29" s="8">
        <v>6.9444444444444448E-2</v>
      </c>
      <c r="H29" s="8">
        <v>0.11319444444444444</v>
      </c>
      <c r="I29" s="9">
        <f t="shared" si="21"/>
        <v>62.999999999999993</v>
      </c>
      <c r="J29" s="8">
        <v>0.26041666666666669</v>
      </c>
      <c r="K29" s="8">
        <v>0.28819444444444442</v>
      </c>
      <c r="L29" s="9">
        <f t="shared" ref="L29" si="33">IF(K29-J29&lt;0, -(J29-K29), K29-J29)*1440</f>
        <v>39.999999999999936</v>
      </c>
      <c r="M29" s="10">
        <f>($Q$19-Table1[[#This Row],[Arrival]])*1440</f>
        <v>75.000000000000057</v>
      </c>
    </row>
    <row r="30" spans="2:17" ht="15.75" thickBot="1" x14ac:dyDescent="0.3">
      <c r="B30" s="1">
        <f t="shared" si="30"/>
        <v>45867</v>
      </c>
      <c r="C30" s="7" t="str">
        <f t="shared" si="31"/>
        <v>Tuesday</v>
      </c>
      <c r="D30" s="7" t="s">
        <v>6</v>
      </c>
      <c r="E30" s="7" t="s">
        <v>33</v>
      </c>
      <c r="F30" s="7" t="s">
        <v>34</v>
      </c>
      <c r="G30" s="8">
        <v>6.9444444444444448E-2</v>
      </c>
      <c r="H30" s="8">
        <v>8.3333333333333329E-2</v>
      </c>
      <c r="I30" s="9">
        <f t="shared" si="21"/>
        <v>19.999999999999989</v>
      </c>
      <c r="J30" s="8">
        <v>0.26041666666666669</v>
      </c>
      <c r="K30" s="8">
        <v>0.25694444444444442</v>
      </c>
      <c r="L30" s="9">
        <f t="shared" ref="L30" si="34">IF(K30-J30&lt;0, -(J30-K30), K30-J30)*1440</f>
        <v>-5.0000000000000622</v>
      </c>
      <c r="M30" s="10">
        <f>($Q$19-Table1[[#This Row],[Arrival]])*1440</f>
        <v>120.00000000000006</v>
      </c>
    </row>
    <row r="31" spans="2:17" ht="15.75" thickBot="1" x14ac:dyDescent="0.3">
      <c r="B31" s="1">
        <f t="shared" ref="B31:B35" si="35">B32+1</f>
        <v>45866</v>
      </c>
      <c r="C31" s="7" t="str">
        <f t="shared" ref="C31:C35" si="36">TEXT(B31, "dddd")</f>
        <v>Monday</v>
      </c>
      <c r="D31" s="7" t="s">
        <v>6</v>
      </c>
      <c r="E31" s="7" t="s">
        <v>33</v>
      </c>
      <c r="F31" s="7" t="s">
        <v>34</v>
      </c>
      <c r="G31" s="8">
        <v>6.9444444444444448E-2</v>
      </c>
      <c r="H31" s="8">
        <v>0.12291666666666666</v>
      </c>
      <c r="I31" s="9">
        <f t="shared" si="21"/>
        <v>76.999999999999986</v>
      </c>
      <c r="J31" s="8">
        <v>0.26041666666666669</v>
      </c>
      <c r="K31" s="8">
        <v>0.30416666666666664</v>
      </c>
      <c r="L31" s="9">
        <f t="shared" ref="L31" si="37">IF(K31-J31&lt;0, -(J31-K31), K31-J31)*1440</f>
        <v>62.999999999999936</v>
      </c>
      <c r="M31" s="10">
        <f>($Q$19-Table1[[#This Row],[Arrival]])*1440</f>
        <v>52.000000000000057</v>
      </c>
    </row>
    <row r="32" spans="2:17" ht="15.75" thickBot="1" x14ac:dyDescent="0.3">
      <c r="B32" s="1">
        <f t="shared" si="35"/>
        <v>45865</v>
      </c>
      <c r="C32" s="7" t="str">
        <f t="shared" si="36"/>
        <v>Sunday</v>
      </c>
      <c r="D32" s="7" t="s">
        <v>6</v>
      </c>
      <c r="E32" s="7" t="s">
        <v>33</v>
      </c>
      <c r="F32" s="7" t="s">
        <v>34</v>
      </c>
      <c r="G32" s="8">
        <v>6.9444444444444448E-2</v>
      </c>
      <c r="H32" s="8">
        <v>0.12083333333333333</v>
      </c>
      <c r="I32" s="9">
        <f t="shared" ref="I32:I39" si="38">IF(H32-G32&lt;0, -(G32-H32), H32-G32)*1440</f>
        <v>74</v>
      </c>
      <c r="J32" s="8">
        <v>0.26041666666666669</v>
      </c>
      <c r="K32" s="8">
        <v>0.30069444444444443</v>
      </c>
      <c r="L32" s="9">
        <f t="shared" ref="L32" si="39">IF(K32-J32&lt;0, -(J32-K32), K32-J32)*1440</f>
        <v>57.999999999999957</v>
      </c>
      <c r="M32" s="10">
        <f>($Q$19-Table1[[#This Row],[Arrival]])*1440</f>
        <v>57.000000000000036</v>
      </c>
    </row>
    <row r="33" spans="2:13" ht="15.75" thickBot="1" x14ac:dyDescent="0.3">
      <c r="B33" s="1">
        <f t="shared" si="35"/>
        <v>45864</v>
      </c>
      <c r="C33" s="7" t="str">
        <f t="shared" si="36"/>
        <v>Saturday</v>
      </c>
      <c r="D33" s="7" t="s">
        <v>6</v>
      </c>
      <c r="E33" s="7" t="s">
        <v>33</v>
      </c>
      <c r="F33" s="7" t="s">
        <v>34</v>
      </c>
      <c r="G33" s="8">
        <v>6.9444444444444448E-2</v>
      </c>
      <c r="H33" s="8">
        <v>0.10069444444444445</v>
      </c>
      <c r="I33" s="9">
        <f t="shared" si="38"/>
        <v>45</v>
      </c>
      <c r="J33" s="8">
        <v>0.26041666666666669</v>
      </c>
      <c r="K33" s="8">
        <v>0.28472222222222221</v>
      </c>
      <c r="L33" s="9">
        <f t="shared" ref="L33" si="40">IF(K33-J33&lt;0, -(J33-K33), K33-J33)*1440</f>
        <v>34.999999999999957</v>
      </c>
      <c r="M33" s="10">
        <f>($Q$19-Table1[[#This Row],[Arrival]])*1440</f>
        <v>80.000000000000028</v>
      </c>
    </row>
    <row r="34" spans="2:13" ht="15.75" thickBot="1" x14ac:dyDescent="0.3">
      <c r="B34" s="1">
        <f t="shared" si="35"/>
        <v>45863</v>
      </c>
      <c r="C34" s="7" t="str">
        <f t="shared" si="36"/>
        <v>Friday</v>
      </c>
      <c r="D34" s="7" t="s">
        <v>6</v>
      </c>
      <c r="E34" s="7" t="s">
        <v>33</v>
      </c>
      <c r="F34" s="7" t="s">
        <v>34</v>
      </c>
      <c r="G34" s="8">
        <v>6.9444444444444448E-2</v>
      </c>
      <c r="H34" s="8">
        <v>0.12013888888888889</v>
      </c>
      <c r="I34" s="9">
        <f t="shared" si="38"/>
        <v>73</v>
      </c>
      <c r="J34" s="8">
        <v>0.26041666666666669</v>
      </c>
      <c r="K34" s="8">
        <v>0.30902777777777779</v>
      </c>
      <c r="L34" s="9">
        <f t="shared" ref="L34" si="41">IF(K34-J34&lt;0, -(J34-K34), K34-J34)*1440</f>
        <v>69.999999999999986</v>
      </c>
      <c r="M34" s="10">
        <f>($Q$19-Table1[[#This Row],[Arrival]])*1440</f>
        <v>45</v>
      </c>
    </row>
    <row r="35" spans="2:13" ht="15.75" thickBot="1" x14ac:dyDescent="0.3">
      <c r="B35" s="1">
        <f t="shared" si="35"/>
        <v>45862</v>
      </c>
      <c r="C35" s="7" t="str">
        <f t="shared" si="36"/>
        <v>Thursday</v>
      </c>
      <c r="D35" s="7" t="s">
        <v>6</v>
      </c>
      <c r="E35" s="7" t="s">
        <v>33</v>
      </c>
      <c r="F35" s="7" t="s">
        <v>34</v>
      </c>
      <c r="G35" s="8">
        <v>6.9444444444444448E-2</v>
      </c>
      <c r="H35" s="8">
        <v>8.2638888888888887E-2</v>
      </c>
      <c r="I35" s="9">
        <f t="shared" si="38"/>
        <v>18.999999999999993</v>
      </c>
      <c r="J35" s="8">
        <v>0.26041666666666669</v>
      </c>
      <c r="K35" s="8">
        <v>0.26111111111111113</v>
      </c>
      <c r="L35" s="9">
        <f t="shared" ref="L35" si="42">IF(K35-J35&lt;0, -(J35-K35), K35-J35)*1440</f>
        <v>0.99999999999999645</v>
      </c>
      <c r="M35" s="10">
        <f>($Q$19-Table1[[#This Row],[Arrival]])*1440</f>
        <v>114</v>
      </c>
    </row>
    <row r="36" spans="2:13" ht="15.75" thickBot="1" x14ac:dyDescent="0.3">
      <c r="B36" s="1">
        <f t="shared" ref="B36:B39" si="43">B37+1</f>
        <v>45861</v>
      </c>
      <c r="C36" s="7" t="str">
        <f t="shared" ref="C36:C39" si="44">TEXT(B36, "dddd")</f>
        <v>Wednesday</v>
      </c>
      <c r="D36" s="7" t="s">
        <v>6</v>
      </c>
      <c r="E36" s="7" t="s">
        <v>33</v>
      </c>
      <c r="F36" s="7" t="s">
        <v>34</v>
      </c>
      <c r="G36" s="8">
        <v>6.9444444444444448E-2</v>
      </c>
      <c r="H36" s="8">
        <v>9.8611111111111108E-2</v>
      </c>
      <c r="I36" s="9">
        <f t="shared" si="38"/>
        <v>41.999999999999993</v>
      </c>
      <c r="J36" s="8">
        <v>0.26041666666666669</v>
      </c>
      <c r="K36" s="8">
        <v>0.27708333333333335</v>
      </c>
      <c r="L36" s="9">
        <f t="shared" ref="L36" si="45">IF(K36-J36&lt;0, -(J36-K36), K36-J36)*1440</f>
        <v>23.999999999999993</v>
      </c>
      <c r="M36" s="10">
        <f>($Q$19-Table1[[#This Row],[Arrival]])*1440</f>
        <v>91</v>
      </c>
    </row>
    <row r="37" spans="2:13" ht="15.75" thickBot="1" x14ac:dyDescent="0.3">
      <c r="B37" s="1">
        <f t="shared" si="43"/>
        <v>45860</v>
      </c>
      <c r="C37" s="7" t="str">
        <f t="shared" si="44"/>
        <v>Tuesday</v>
      </c>
      <c r="D37" s="7" t="s">
        <v>6</v>
      </c>
      <c r="E37" s="7" t="s">
        <v>33</v>
      </c>
      <c r="F37" s="7" t="s">
        <v>34</v>
      </c>
      <c r="G37" s="8">
        <v>6.9444444444444448E-2</v>
      </c>
      <c r="H37" s="8">
        <v>9.7222222222222224E-2</v>
      </c>
      <c r="I37" s="9">
        <f t="shared" si="38"/>
        <v>40</v>
      </c>
      <c r="J37" s="8">
        <v>0.26041666666666669</v>
      </c>
      <c r="K37" s="8">
        <v>0.26874999999999999</v>
      </c>
      <c r="L37" s="9">
        <f t="shared" ref="L37" si="46">IF(K37-J37&lt;0, -(J37-K37), K37-J37)*1440</f>
        <v>11.999999999999957</v>
      </c>
      <c r="M37" s="10">
        <f>($Q$19-Table1[[#This Row],[Arrival]])*1440</f>
        <v>103.00000000000003</v>
      </c>
    </row>
    <row r="38" spans="2:13" ht="15.75" thickBot="1" x14ac:dyDescent="0.3">
      <c r="B38" s="1">
        <f t="shared" si="43"/>
        <v>45859</v>
      </c>
      <c r="C38" s="7" t="str">
        <f t="shared" si="44"/>
        <v>Monday</v>
      </c>
      <c r="D38" s="7" t="s">
        <v>6</v>
      </c>
      <c r="E38" s="7" t="s">
        <v>33</v>
      </c>
      <c r="F38" s="7" t="s">
        <v>34</v>
      </c>
      <c r="G38" s="8">
        <v>6.9444444444444448E-2</v>
      </c>
      <c r="H38" s="8">
        <v>0.10555555555555556</v>
      </c>
      <c r="I38" s="9">
        <f t="shared" si="38"/>
        <v>51.999999999999993</v>
      </c>
      <c r="J38" s="8">
        <v>0.26041666666666669</v>
      </c>
      <c r="K38" s="8">
        <v>0.27916666666666667</v>
      </c>
      <c r="L38" s="9">
        <f t="shared" ref="L38" si="47">IF(K38-J38&lt;0, -(J38-K38), K38-J38)*1440</f>
        <v>26.999999999999986</v>
      </c>
      <c r="M38" s="10">
        <f>($Q$19-Table1[[#This Row],[Arrival]])*1440</f>
        <v>88</v>
      </c>
    </row>
    <row r="39" spans="2:13" ht="15.75" thickBot="1" x14ac:dyDescent="0.3">
      <c r="B39" s="1">
        <f t="shared" si="43"/>
        <v>45858</v>
      </c>
      <c r="C39" s="7" t="str">
        <f t="shared" si="44"/>
        <v>Sunday</v>
      </c>
      <c r="D39" s="7" t="s">
        <v>6</v>
      </c>
      <c r="E39" s="7" t="s">
        <v>33</v>
      </c>
      <c r="F39" s="7" t="s">
        <v>34</v>
      </c>
      <c r="G39" s="8">
        <v>6.9444444444444448E-2</v>
      </c>
      <c r="H39" s="8">
        <v>0.11527777777777778</v>
      </c>
      <c r="I39" s="9">
        <f t="shared" si="38"/>
        <v>66</v>
      </c>
      <c r="J39" s="8">
        <v>0.26041666666666669</v>
      </c>
      <c r="K39" s="8">
        <v>0.29166666666666669</v>
      </c>
      <c r="L39" s="9">
        <f t="shared" ref="L39" si="48">IF(K39-J39&lt;0, -(J39-K39), K39-J39)*1440</f>
        <v>45</v>
      </c>
      <c r="M39" s="10">
        <f>($Q$19-Table1[[#This Row],[Arrival]])*1440</f>
        <v>69.999999999999986</v>
      </c>
    </row>
    <row r="40" spans="2:13" ht="15.75" thickBot="1" x14ac:dyDescent="0.3">
      <c r="B40" s="1">
        <f t="shared" ref="B40:B46" si="49">B41+1</f>
        <v>45857</v>
      </c>
      <c r="C40" s="7" t="str">
        <f t="shared" ref="C40:C46" si="50">TEXT(B40, "dddd")</f>
        <v>Saturday</v>
      </c>
      <c r="D40" s="7" t="s">
        <v>6</v>
      </c>
      <c r="E40" s="7" t="s">
        <v>33</v>
      </c>
      <c r="F40" s="7" t="s">
        <v>34</v>
      </c>
      <c r="G40" s="8">
        <v>6.9444444444444448E-2</v>
      </c>
      <c r="H40" s="8">
        <v>9.2361111111111116E-2</v>
      </c>
      <c r="I40" s="9">
        <f>IF(H40-G41&lt;0, -(G41-H40), H40-G41)*1440</f>
        <v>33</v>
      </c>
      <c r="J40" s="8">
        <v>0.26041666666666669</v>
      </c>
      <c r="K40" s="8">
        <v>0.27152777777777776</v>
      </c>
      <c r="L40" s="9">
        <f t="shared" ref="L40" si="51">IF(K40-J40&lt;0, -(J40-K40), K40-J40)*1440</f>
        <v>15.999999999999943</v>
      </c>
      <c r="M40" s="10">
        <f>($Q$19-Table1[[#This Row],[Arrival]])*1440</f>
        <v>99.000000000000043</v>
      </c>
    </row>
    <row r="41" spans="2:13" ht="15.75" thickBot="1" x14ac:dyDescent="0.3">
      <c r="B41" s="1">
        <f t="shared" si="49"/>
        <v>45856</v>
      </c>
      <c r="C41" s="7" t="str">
        <f t="shared" si="50"/>
        <v>Friday</v>
      </c>
      <c r="D41" s="7" t="s">
        <v>6</v>
      </c>
      <c r="E41" s="7" t="s">
        <v>33</v>
      </c>
      <c r="F41" s="7" t="s">
        <v>34</v>
      </c>
      <c r="G41" s="8">
        <v>6.9444444444444448E-2</v>
      </c>
      <c r="H41" s="8">
        <v>8.8888888888888892E-2</v>
      </c>
      <c r="I41" s="9">
        <f>IF(H41-G42&lt;0, -(G42-H41), H41-G42)*1440</f>
        <v>28</v>
      </c>
      <c r="J41" s="8">
        <v>0.26041666666666669</v>
      </c>
      <c r="K41" s="8">
        <v>0.2673611111111111</v>
      </c>
      <c r="L41" s="9">
        <f t="shared" ref="L41" si="52">IF(K41-J41&lt;0, -(J41-K41), K41-J41)*1440</f>
        <v>9.9999999999999645</v>
      </c>
      <c r="M41" s="10">
        <f>($Q$19-Table1[[#This Row],[Arrival]])*1440</f>
        <v>105.00000000000003</v>
      </c>
    </row>
    <row r="42" spans="2:13" ht="15.75" thickBot="1" x14ac:dyDescent="0.3">
      <c r="B42" s="1">
        <f t="shared" si="49"/>
        <v>45855</v>
      </c>
      <c r="C42" s="7" t="str">
        <f t="shared" si="50"/>
        <v>Thursday</v>
      </c>
      <c r="D42" s="7" t="s">
        <v>6</v>
      </c>
      <c r="E42" s="7" t="s">
        <v>33</v>
      </c>
      <c r="F42" s="7" t="s">
        <v>34</v>
      </c>
      <c r="G42" s="8">
        <v>6.9444444444444448E-2</v>
      </c>
      <c r="H42" s="8">
        <v>0.1125</v>
      </c>
      <c r="I42" s="9">
        <f t="shared" ref="I42:I47" si="53">IF(H42-G42&lt;0, -(G42-H42), H42-G42)*1440</f>
        <v>62</v>
      </c>
      <c r="J42" s="8">
        <v>0.26041666666666669</v>
      </c>
      <c r="K42" s="8">
        <v>0.29444444444444445</v>
      </c>
      <c r="L42" s="9">
        <f t="shared" ref="L42:L47" si="54">IF(K42-J42&lt;0, -(J42-K42), K42-J42)*1440</f>
        <v>48.999999999999986</v>
      </c>
      <c r="M42" s="10">
        <f>($Q$19-Table1[[#This Row],[Arrival]])*1440</f>
        <v>66</v>
      </c>
    </row>
    <row r="43" spans="2:13" ht="15.75" thickBot="1" x14ac:dyDescent="0.3">
      <c r="B43" s="1">
        <f t="shared" si="49"/>
        <v>45854</v>
      </c>
      <c r="C43" s="7" t="str">
        <f t="shared" si="50"/>
        <v>Wednesday</v>
      </c>
      <c r="D43" s="7" t="s">
        <v>6</v>
      </c>
      <c r="E43" s="7" t="s">
        <v>33</v>
      </c>
      <c r="F43" s="7" t="s">
        <v>34</v>
      </c>
      <c r="G43" s="8">
        <v>6.9444444444444448E-2</v>
      </c>
      <c r="H43" s="8">
        <v>8.611111111111111E-2</v>
      </c>
      <c r="I43" s="9">
        <f t="shared" si="53"/>
        <v>23.999999999999993</v>
      </c>
      <c r="J43" s="8">
        <v>0.26041666666666669</v>
      </c>
      <c r="K43" s="8">
        <v>0.27083333333333331</v>
      </c>
      <c r="L43" s="9">
        <f t="shared" si="54"/>
        <v>14.999999999999947</v>
      </c>
      <c r="M43" s="10">
        <f>($Q$19-Table1[[#This Row],[Arrival]])*1440</f>
        <v>100.00000000000004</v>
      </c>
    </row>
    <row r="44" spans="2:13" ht="15.75" thickBot="1" x14ac:dyDescent="0.3">
      <c r="B44" s="1">
        <f t="shared" si="49"/>
        <v>45853</v>
      </c>
      <c r="C44" s="7" t="str">
        <f t="shared" si="50"/>
        <v>Tuesday</v>
      </c>
      <c r="D44" s="7" t="s">
        <v>6</v>
      </c>
      <c r="E44" s="7" t="s">
        <v>33</v>
      </c>
      <c r="F44" s="7" t="s">
        <v>34</v>
      </c>
      <c r="G44" s="8">
        <v>6.9444444444444448E-2</v>
      </c>
      <c r="H44" s="8">
        <v>0.10347222222222222</v>
      </c>
      <c r="I44" s="9">
        <f t="shared" si="53"/>
        <v>48.999999999999986</v>
      </c>
      <c r="J44" s="8">
        <v>0.26041666666666669</v>
      </c>
      <c r="K44" s="8">
        <v>0.28263888888888888</v>
      </c>
      <c r="L44" s="9">
        <f t="shared" si="54"/>
        <v>31.999999999999964</v>
      </c>
      <c r="M44" s="10">
        <f>($Q$19-Table1[[#This Row],[Arrival]])*1440</f>
        <v>83.000000000000028</v>
      </c>
    </row>
    <row r="45" spans="2:13" ht="15.75" thickBot="1" x14ac:dyDescent="0.3">
      <c r="B45" s="1">
        <f t="shared" si="49"/>
        <v>45852</v>
      </c>
      <c r="C45" s="7" t="str">
        <f t="shared" si="50"/>
        <v>Monday</v>
      </c>
      <c r="D45" s="7" t="s">
        <v>6</v>
      </c>
      <c r="E45" s="7" t="s">
        <v>33</v>
      </c>
      <c r="F45" s="7" t="s">
        <v>34</v>
      </c>
      <c r="G45" s="8">
        <v>6.9444444444444448E-2</v>
      </c>
      <c r="H45" s="8">
        <v>8.611111111111111E-2</v>
      </c>
      <c r="I45" s="9">
        <f t="shared" si="53"/>
        <v>23.999999999999993</v>
      </c>
      <c r="J45" s="8">
        <v>0.26041666666666669</v>
      </c>
      <c r="K45" s="8">
        <v>0.27361111111111114</v>
      </c>
      <c r="L45" s="9">
        <f t="shared" si="54"/>
        <v>19.000000000000014</v>
      </c>
      <c r="M45" s="10">
        <f>($Q$19-Table1[[#This Row],[Arrival]])*1440</f>
        <v>95.999999999999972</v>
      </c>
    </row>
    <row r="46" spans="2:13" ht="15.75" thickBot="1" x14ac:dyDescent="0.3">
      <c r="B46" s="1">
        <f t="shared" si="49"/>
        <v>45851</v>
      </c>
      <c r="C46" s="7" t="str">
        <f t="shared" si="50"/>
        <v>Sunday</v>
      </c>
      <c r="D46" s="7" t="s">
        <v>6</v>
      </c>
      <c r="E46" s="7" t="s">
        <v>33</v>
      </c>
      <c r="F46" s="7" t="s">
        <v>34</v>
      </c>
      <c r="G46" s="8">
        <v>6.9444444444444448E-2</v>
      </c>
      <c r="H46" s="8">
        <v>7.8472222222222221E-2</v>
      </c>
      <c r="I46" s="9">
        <f t="shared" si="53"/>
        <v>12.999999999999993</v>
      </c>
      <c r="J46" s="8">
        <v>0.26041666666666669</v>
      </c>
      <c r="K46" s="8">
        <v>0.25833333333333336</v>
      </c>
      <c r="L46" s="9">
        <f t="shared" si="54"/>
        <v>-2.9999999999999893</v>
      </c>
      <c r="M46" s="10">
        <f>($Q$19-Table1[[#This Row],[Arrival]])*1440</f>
        <v>117.99999999999999</v>
      </c>
    </row>
    <row r="47" spans="2:13" ht="15.75" thickBot="1" x14ac:dyDescent="0.3">
      <c r="B47" s="1">
        <f t="shared" ref="B47:B77" si="55">B48+1</f>
        <v>45850</v>
      </c>
      <c r="C47" s="7" t="str">
        <f>TEXT(B47, "dddd")</f>
        <v>Saturday</v>
      </c>
      <c r="D47" s="7" t="s">
        <v>6</v>
      </c>
      <c r="E47" s="7" t="s">
        <v>33</v>
      </c>
      <c r="F47" s="7" t="s">
        <v>34</v>
      </c>
      <c r="G47" s="8">
        <v>6.9444444444444448E-2</v>
      </c>
      <c r="H47" s="8">
        <v>8.819444444444445E-2</v>
      </c>
      <c r="I47" s="9">
        <f t="shared" si="53"/>
        <v>27.000000000000004</v>
      </c>
      <c r="J47" s="8">
        <v>0.26041666666666669</v>
      </c>
      <c r="K47" s="8">
        <v>0.26319444444444445</v>
      </c>
      <c r="L47" s="9">
        <f t="shared" si="54"/>
        <v>3.9999999999999858</v>
      </c>
      <c r="M47" s="10">
        <f>($Q$19-Table1[[#This Row],[Arrival]])*1440</f>
        <v>111</v>
      </c>
    </row>
    <row r="48" spans="2:13" ht="15.75" thickBot="1" x14ac:dyDescent="0.3">
      <c r="B48" s="1">
        <f t="shared" si="55"/>
        <v>45849</v>
      </c>
      <c r="C48" s="7" t="s">
        <v>38</v>
      </c>
      <c r="D48" s="7" t="s">
        <v>6</v>
      </c>
      <c r="E48" s="7" t="s">
        <v>33</v>
      </c>
      <c r="F48" s="7" t="s">
        <v>34</v>
      </c>
      <c r="G48" s="8">
        <v>6.9444444444444448E-2</v>
      </c>
      <c r="H48" s="8">
        <v>9.583333333333334E-2</v>
      </c>
      <c r="I48" s="9">
        <f t="shared" ref="I48:I111" si="56">IF(H48-G48&lt;0, -(G48-H48), H48-G48)*1440</f>
        <v>38.000000000000007</v>
      </c>
      <c r="J48" s="8">
        <v>0.26041666666666669</v>
      </c>
      <c r="K48" s="8">
        <v>0.28055555555555556</v>
      </c>
      <c r="L48" s="9">
        <f t="shared" ref="L48:L111" si="57">IF(K48-J48&lt;0, -(J48-K48), K48-J48)*1440</f>
        <v>28.999999999999979</v>
      </c>
      <c r="M48" s="10">
        <f>($Q$19-Table1[[#This Row],[Arrival]])*1440</f>
        <v>86.000000000000014</v>
      </c>
    </row>
    <row r="49" spans="2:13" ht="15.75" thickBot="1" x14ac:dyDescent="0.3">
      <c r="B49" s="1">
        <f t="shared" si="55"/>
        <v>45848</v>
      </c>
      <c r="C49" s="7" t="s">
        <v>39</v>
      </c>
      <c r="D49" s="7" t="s">
        <v>6</v>
      </c>
      <c r="E49" s="7" t="s">
        <v>33</v>
      </c>
      <c r="F49" s="7" t="s">
        <v>34</v>
      </c>
      <c r="G49" s="8">
        <v>6.9444444444444448E-2</v>
      </c>
      <c r="H49" s="8">
        <v>0.13750000000000001</v>
      </c>
      <c r="I49" s="9">
        <f t="shared" si="56"/>
        <v>98.000000000000014</v>
      </c>
      <c r="J49" s="8">
        <v>0.26041666666666669</v>
      </c>
      <c r="K49" s="8">
        <v>0.32500000000000001</v>
      </c>
      <c r="L49" s="9">
        <f>IF(K49-J49&lt;0, -(J49-K49), K49-J49)*1440</f>
        <v>92.999999999999986</v>
      </c>
      <c r="M49" s="10">
        <f>($Q$19-Table1[[#This Row],[Arrival]])*1440</f>
        <v>22</v>
      </c>
    </row>
    <row r="50" spans="2:13" ht="15.75" thickBot="1" x14ac:dyDescent="0.3">
      <c r="B50" s="1">
        <f t="shared" si="55"/>
        <v>45847</v>
      </c>
      <c r="C50" s="7" t="s">
        <v>40</v>
      </c>
      <c r="D50" s="7" t="s">
        <v>6</v>
      </c>
      <c r="E50" s="7" t="s">
        <v>33</v>
      </c>
      <c r="F50" s="7" t="s">
        <v>34</v>
      </c>
      <c r="G50" s="8">
        <v>6.9444444444444448E-2</v>
      </c>
      <c r="H50" s="8">
        <v>8.611111111111111E-2</v>
      </c>
      <c r="I50" s="9">
        <f t="shared" si="56"/>
        <v>23.999999999999993</v>
      </c>
      <c r="J50" s="8">
        <v>0.26041666666666669</v>
      </c>
      <c r="K50" s="8">
        <v>0.27291666666666664</v>
      </c>
      <c r="L50" s="9">
        <f t="shared" si="57"/>
        <v>17.999999999999936</v>
      </c>
      <c r="M50" s="10">
        <f>($Q$19-Table1[[#This Row],[Arrival]])*1440</f>
        <v>97.000000000000057</v>
      </c>
    </row>
    <row r="51" spans="2:13" ht="15.75" thickBot="1" x14ac:dyDescent="0.3">
      <c r="B51" s="1">
        <f t="shared" si="55"/>
        <v>45846</v>
      </c>
      <c r="C51" s="7" t="s">
        <v>32</v>
      </c>
      <c r="D51" s="7" t="s">
        <v>6</v>
      </c>
      <c r="E51" s="7" t="s">
        <v>33</v>
      </c>
      <c r="F51" s="7" t="s">
        <v>34</v>
      </c>
      <c r="G51" s="8">
        <v>6.9444444444444448E-2</v>
      </c>
      <c r="H51" s="8">
        <v>7.8472222222222221E-2</v>
      </c>
      <c r="I51" s="9">
        <f t="shared" si="56"/>
        <v>12.999999999999993</v>
      </c>
      <c r="J51" s="8">
        <v>0.26041666666666669</v>
      </c>
      <c r="K51" s="8">
        <v>0.26527777777777778</v>
      </c>
      <c r="L51" s="9">
        <f t="shared" si="57"/>
        <v>6.9999999999999751</v>
      </c>
      <c r="M51" s="10">
        <f>($Q$19-Table1[[#This Row],[Arrival]])*1440</f>
        <v>108.00000000000001</v>
      </c>
    </row>
    <row r="52" spans="2:13" ht="15.75" thickBot="1" x14ac:dyDescent="0.3">
      <c r="B52" s="1">
        <f t="shared" si="55"/>
        <v>45845</v>
      </c>
      <c r="C52" s="7" t="str">
        <f t="shared" ref="C52" si="58">TEXT(B52, "dddd")</f>
        <v>Monday</v>
      </c>
      <c r="D52" s="7" t="s">
        <v>6</v>
      </c>
      <c r="E52" s="7" t="s">
        <v>33</v>
      </c>
      <c r="F52" s="7" t="s">
        <v>34</v>
      </c>
      <c r="G52" s="8">
        <v>6.9444444444444448E-2</v>
      </c>
      <c r="H52" s="8">
        <v>7.2916666666666671E-2</v>
      </c>
      <c r="I52" s="9">
        <f t="shared" si="56"/>
        <v>5.0000000000000018</v>
      </c>
      <c r="J52" s="8">
        <v>0.26041666666666669</v>
      </c>
      <c r="K52" s="8">
        <v>0.26250000000000001</v>
      </c>
      <c r="L52" s="9">
        <f t="shared" si="57"/>
        <v>2.9999999999999893</v>
      </c>
      <c r="M52" s="10">
        <f>($Q$19-Table1[[#This Row],[Arrival]])*1440</f>
        <v>112</v>
      </c>
    </row>
    <row r="53" spans="2:13" ht="15.75" thickBot="1" x14ac:dyDescent="0.3">
      <c r="B53" s="1">
        <f t="shared" si="55"/>
        <v>45844</v>
      </c>
      <c r="C53" s="7" t="s">
        <v>36</v>
      </c>
      <c r="D53" s="7" t="s">
        <v>6</v>
      </c>
      <c r="E53" s="7" t="s">
        <v>33</v>
      </c>
      <c r="F53" s="7" t="s">
        <v>34</v>
      </c>
      <c r="G53" s="8">
        <v>6.9444444444444448E-2</v>
      </c>
      <c r="H53" s="8">
        <v>8.9583333333333334E-2</v>
      </c>
      <c r="I53" s="9">
        <f t="shared" si="56"/>
        <v>28.999999999999996</v>
      </c>
      <c r="J53" s="8">
        <v>0.26041666666666669</v>
      </c>
      <c r="K53" s="8">
        <v>0.27291666666666664</v>
      </c>
      <c r="L53" s="9">
        <f t="shared" si="57"/>
        <v>17.999999999999936</v>
      </c>
      <c r="M53" s="10">
        <f>($Q$19-Table1[[#This Row],[Arrival]])*1440</f>
        <v>97.000000000000057</v>
      </c>
    </row>
    <row r="54" spans="2:13" ht="15.75" thickBot="1" x14ac:dyDescent="0.3">
      <c r="B54" s="1">
        <f t="shared" si="55"/>
        <v>45843</v>
      </c>
      <c r="C54" s="7" t="s">
        <v>37</v>
      </c>
      <c r="D54" s="7" t="s">
        <v>6</v>
      </c>
      <c r="E54" s="7" t="s">
        <v>33</v>
      </c>
      <c r="F54" s="7" t="s">
        <v>34</v>
      </c>
      <c r="G54" s="8">
        <v>6.9444444444444448E-2</v>
      </c>
      <c r="H54" s="8">
        <v>0.13680555555555557</v>
      </c>
      <c r="I54" s="9">
        <f t="shared" si="56"/>
        <v>97.000000000000014</v>
      </c>
      <c r="J54" s="8">
        <v>0.26041666666666669</v>
      </c>
      <c r="K54" s="8">
        <v>0.31944444444444442</v>
      </c>
      <c r="L54" s="9">
        <f t="shared" si="57"/>
        <v>84.999999999999943</v>
      </c>
      <c r="M54" s="10">
        <f>($Q$19-Table1[[#This Row],[Arrival]])*1440</f>
        <v>30.000000000000053</v>
      </c>
    </row>
    <row r="55" spans="2:13" ht="15.75" thickBot="1" x14ac:dyDescent="0.3">
      <c r="B55" s="1">
        <f t="shared" si="55"/>
        <v>45842</v>
      </c>
      <c r="C55" s="7" t="s">
        <v>38</v>
      </c>
      <c r="D55" s="7" t="s">
        <v>6</v>
      </c>
      <c r="E55" s="7" t="s">
        <v>33</v>
      </c>
      <c r="F55" s="7" t="s">
        <v>34</v>
      </c>
      <c r="G55" s="8">
        <v>6.9444444444444448E-2</v>
      </c>
      <c r="H55" s="8">
        <v>9.7916666666666666E-2</v>
      </c>
      <c r="I55" s="9">
        <f t="shared" si="56"/>
        <v>40.999999999999993</v>
      </c>
      <c r="J55" s="8">
        <v>0.26041666666666669</v>
      </c>
      <c r="K55" s="8">
        <v>0.28125</v>
      </c>
      <c r="L55" s="9">
        <f t="shared" si="57"/>
        <v>29.999999999999972</v>
      </c>
      <c r="M55" s="10">
        <f>($Q$19-Table1[[#This Row],[Arrival]])*1440</f>
        <v>85.000000000000014</v>
      </c>
    </row>
    <row r="56" spans="2:13" ht="15.75" thickBot="1" x14ac:dyDescent="0.3">
      <c r="B56" s="1">
        <f t="shared" si="55"/>
        <v>45841</v>
      </c>
      <c r="C56" s="7" t="s">
        <v>39</v>
      </c>
      <c r="D56" s="7" t="s">
        <v>6</v>
      </c>
      <c r="E56" s="7" t="s">
        <v>33</v>
      </c>
      <c r="F56" s="7" t="s">
        <v>34</v>
      </c>
      <c r="G56" s="8">
        <v>6.9444444444444448E-2</v>
      </c>
      <c r="H56" s="8">
        <v>0.12569444444444444</v>
      </c>
      <c r="I56" s="9">
        <f t="shared" si="56"/>
        <v>80.999999999999986</v>
      </c>
      <c r="J56" s="8">
        <v>0.26041666666666669</v>
      </c>
      <c r="K56" s="8">
        <v>0.3125</v>
      </c>
      <c r="L56" s="9">
        <f t="shared" si="57"/>
        <v>74.999999999999972</v>
      </c>
      <c r="M56" s="10">
        <f>($Q$19-Table1[[#This Row],[Arrival]])*1440</f>
        <v>40.000000000000014</v>
      </c>
    </row>
    <row r="57" spans="2:13" ht="15.75" thickBot="1" x14ac:dyDescent="0.3">
      <c r="B57" s="1">
        <f t="shared" si="55"/>
        <v>45840</v>
      </c>
      <c r="C57" s="7" t="s">
        <v>40</v>
      </c>
      <c r="D57" s="7" t="s">
        <v>6</v>
      </c>
      <c r="E57" s="7" t="s">
        <v>33</v>
      </c>
      <c r="F57" s="7" t="s">
        <v>34</v>
      </c>
      <c r="G57" s="8">
        <v>6.9444444444444448E-2</v>
      </c>
      <c r="H57" s="8">
        <v>7.9861111111111105E-2</v>
      </c>
      <c r="I57" s="9">
        <f t="shared" si="56"/>
        <v>14.999999999999986</v>
      </c>
      <c r="J57" s="8">
        <v>0.26041666666666669</v>
      </c>
      <c r="K57" s="8">
        <v>0.2638888888888889</v>
      </c>
      <c r="L57" s="9">
        <f t="shared" si="57"/>
        <v>4.9999999999999822</v>
      </c>
      <c r="M57" s="10">
        <f>($Q$19-Table1[[#This Row],[Arrival]])*1440</f>
        <v>110.00000000000001</v>
      </c>
    </row>
    <row r="58" spans="2:13" ht="15.75" thickBot="1" x14ac:dyDescent="0.3">
      <c r="B58" s="1">
        <f t="shared" si="55"/>
        <v>45839</v>
      </c>
      <c r="C58" s="7" t="s">
        <v>32</v>
      </c>
      <c r="D58" s="7" t="s">
        <v>6</v>
      </c>
      <c r="E58" s="7" t="s">
        <v>33</v>
      </c>
      <c r="F58" s="7" t="s">
        <v>34</v>
      </c>
      <c r="G58" s="8">
        <v>6.9444444444444448E-2</v>
      </c>
      <c r="H58" s="8">
        <v>7.7083333333333337E-2</v>
      </c>
      <c r="I58" s="9">
        <f t="shared" si="56"/>
        <v>11</v>
      </c>
      <c r="J58" s="8">
        <v>0.26041666666666669</v>
      </c>
      <c r="K58" s="8">
        <v>0.2722222222222222</v>
      </c>
      <c r="L58" s="9">
        <f t="shared" si="57"/>
        <v>16.99999999999994</v>
      </c>
      <c r="M58" s="10">
        <f>($Q$19-Table1[[#This Row],[Arrival]])*1440</f>
        <v>98.000000000000057</v>
      </c>
    </row>
    <row r="59" spans="2:13" ht="15.75" thickBot="1" x14ac:dyDescent="0.3">
      <c r="B59" s="1">
        <f t="shared" si="55"/>
        <v>45838</v>
      </c>
      <c r="C59" s="7" t="str">
        <f t="shared" ref="C59" si="59">TEXT(B59, "dddd")</f>
        <v>Monday</v>
      </c>
      <c r="D59" s="7" t="s">
        <v>6</v>
      </c>
      <c r="E59" s="7" t="s">
        <v>33</v>
      </c>
      <c r="F59" s="7" t="s">
        <v>34</v>
      </c>
      <c r="G59" s="8">
        <v>6.9444444444444448E-2</v>
      </c>
      <c r="H59" s="8">
        <v>0.10625</v>
      </c>
      <c r="I59" s="9">
        <f t="shared" si="56"/>
        <v>52.999999999999993</v>
      </c>
      <c r="J59" s="8">
        <v>0.26041666666666669</v>
      </c>
      <c r="K59" s="8">
        <v>0.30486111111111114</v>
      </c>
      <c r="L59" s="9">
        <f t="shared" si="57"/>
        <v>64.000000000000014</v>
      </c>
      <c r="M59" s="10">
        <f>($Q$19-Table1[[#This Row],[Arrival]])*1440</f>
        <v>50.999999999999979</v>
      </c>
    </row>
    <row r="60" spans="2:13" ht="15.75" thickBot="1" x14ac:dyDescent="0.3">
      <c r="B60" s="1">
        <f t="shared" si="55"/>
        <v>45837</v>
      </c>
      <c r="C60" s="7" t="s">
        <v>36</v>
      </c>
      <c r="D60" s="7" t="s">
        <v>6</v>
      </c>
      <c r="E60" s="7" t="s">
        <v>33</v>
      </c>
      <c r="F60" s="7" t="s">
        <v>34</v>
      </c>
      <c r="G60" s="8">
        <v>6.9444444444444448E-2</v>
      </c>
      <c r="H60" s="8">
        <v>9.4444444444444442E-2</v>
      </c>
      <c r="I60" s="9">
        <f t="shared" si="56"/>
        <v>35.999999999999993</v>
      </c>
      <c r="J60" s="8">
        <v>0.26041666666666669</v>
      </c>
      <c r="K60" s="8">
        <v>0.28611111111111109</v>
      </c>
      <c r="L60" s="9">
        <f t="shared" si="57"/>
        <v>36.99999999999995</v>
      </c>
      <c r="M60" s="10">
        <f>($Q$19-Table1[[#This Row],[Arrival]])*1440</f>
        <v>78.000000000000043</v>
      </c>
    </row>
    <row r="61" spans="2:13" ht="15.75" thickBot="1" x14ac:dyDescent="0.3">
      <c r="B61" s="1">
        <f t="shared" si="55"/>
        <v>45836</v>
      </c>
      <c r="C61" s="7" t="s">
        <v>37</v>
      </c>
      <c r="D61" s="7" t="s">
        <v>6</v>
      </c>
      <c r="E61" s="7" t="s">
        <v>33</v>
      </c>
      <c r="F61" s="7" t="s">
        <v>34</v>
      </c>
      <c r="G61" s="8">
        <v>6.9444444444444448E-2</v>
      </c>
      <c r="H61" s="8">
        <v>9.166666666666666E-2</v>
      </c>
      <c r="I61" s="9">
        <f t="shared" si="56"/>
        <v>31.999999999999986</v>
      </c>
      <c r="J61" s="8">
        <v>0.26041666666666669</v>
      </c>
      <c r="K61" s="8">
        <v>0.2951388888888889</v>
      </c>
      <c r="L61" s="9">
        <f t="shared" si="57"/>
        <v>49.999999999999986</v>
      </c>
      <c r="M61" s="10">
        <f>($Q$19-Table1[[#This Row],[Arrival]])*1440</f>
        <v>65.000000000000014</v>
      </c>
    </row>
    <row r="62" spans="2:13" ht="15.75" thickBot="1" x14ac:dyDescent="0.3">
      <c r="B62" s="1">
        <f t="shared" si="55"/>
        <v>45835</v>
      </c>
      <c r="C62" s="7" t="s">
        <v>38</v>
      </c>
      <c r="D62" s="7" t="s">
        <v>6</v>
      </c>
      <c r="E62" s="7" t="s">
        <v>33</v>
      </c>
      <c r="F62" s="7" t="s">
        <v>34</v>
      </c>
      <c r="G62" s="8">
        <v>6.9444444444444448E-2</v>
      </c>
      <c r="H62" s="8">
        <v>9.375E-2</v>
      </c>
      <c r="I62" s="9">
        <f t="shared" si="56"/>
        <v>34.999999999999993</v>
      </c>
      <c r="J62" s="8">
        <v>0.26041666666666669</v>
      </c>
      <c r="K62" s="8">
        <v>0.32222222222222224</v>
      </c>
      <c r="L62" s="9">
        <f t="shared" si="57"/>
        <v>89</v>
      </c>
      <c r="M62" s="10">
        <f>($Q$19-Table1[[#This Row],[Arrival]])*1440</f>
        <v>25.999999999999986</v>
      </c>
    </row>
    <row r="63" spans="2:13" ht="15.75" thickBot="1" x14ac:dyDescent="0.3">
      <c r="B63" s="1">
        <f t="shared" si="55"/>
        <v>45834</v>
      </c>
      <c r="C63" s="7" t="s">
        <v>39</v>
      </c>
      <c r="D63" s="7" t="s">
        <v>6</v>
      </c>
      <c r="E63" s="7" t="s">
        <v>33</v>
      </c>
      <c r="F63" s="7" t="s">
        <v>34</v>
      </c>
      <c r="G63" s="8">
        <v>6.9444444444444448E-2</v>
      </c>
      <c r="H63" s="8">
        <v>9.166666666666666E-2</v>
      </c>
      <c r="I63" s="9">
        <f t="shared" si="56"/>
        <v>31.999999999999986</v>
      </c>
      <c r="J63" s="8">
        <v>0.26041666666666669</v>
      </c>
      <c r="K63" s="8">
        <v>0.31597222222222221</v>
      </c>
      <c r="L63" s="9">
        <f t="shared" si="57"/>
        <v>79.999999999999957</v>
      </c>
      <c r="M63" s="10">
        <f>($Q$19-Table1[[#This Row],[Arrival]])*1440</f>
        <v>35.000000000000036</v>
      </c>
    </row>
    <row r="64" spans="2:13" ht="15.75" thickBot="1" x14ac:dyDescent="0.3">
      <c r="B64" s="1">
        <f t="shared" si="55"/>
        <v>45833</v>
      </c>
      <c r="C64" s="7" t="s">
        <v>40</v>
      </c>
      <c r="D64" s="7" t="s">
        <v>6</v>
      </c>
      <c r="E64" s="7" t="s">
        <v>33</v>
      </c>
      <c r="F64" s="7" t="s">
        <v>34</v>
      </c>
      <c r="G64" s="8">
        <v>6.9444444444444448E-2</v>
      </c>
      <c r="H64" s="8">
        <v>8.1944444444444445E-2</v>
      </c>
      <c r="I64" s="9">
        <f t="shared" si="56"/>
        <v>17.999999999999996</v>
      </c>
      <c r="J64" s="8">
        <v>0.26041666666666669</v>
      </c>
      <c r="K64" s="8">
        <v>0.27638888888888891</v>
      </c>
      <c r="L64" s="9">
        <f t="shared" si="57"/>
        <v>23</v>
      </c>
      <c r="M64" s="10">
        <f>($Q$19-Table1[[#This Row],[Arrival]])*1440</f>
        <v>92</v>
      </c>
    </row>
    <row r="65" spans="2:13" ht="15.75" thickBot="1" x14ac:dyDescent="0.3">
      <c r="B65" s="1">
        <f t="shared" si="55"/>
        <v>45832</v>
      </c>
      <c r="C65" s="7" t="s">
        <v>32</v>
      </c>
      <c r="D65" s="7" t="s">
        <v>6</v>
      </c>
      <c r="E65" s="7" t="s">
        <v>33</v>
      </c>
      <c r="F65" s="7" t="s">
        <v>34</v>
      </c>
      <c r="G65" s="8">
        <v>6.9444444444444448E-2</v>
      </c>
      <c r="H65" s="8">
        <v>0.1076388888888889</v>
      </c>
      <c r="I65" s="9">
        <f t="shared" si="56"/>
        <v>55.000000000000007</v>
      </c>
      <c r="J65" s="8">
        <v>0.26041666666666669</v>
      </c>
      <c r="K65" s="8">
        <v>0.31597222222222221</v>
      </c>
      <c r="L65" s="9">
        <f t="shared" si="57"/>
        <v>79.999999999999957</v>
      </c>
      <c r="M65" s="10">
        <f>($Q$19-Table1[[#This Row],[Arrival]])*1440</f>
        <v>35.000000000000036</v>
      </c>
    </row>
    <row r="66" spans="2:13" ht="15.75" thickBot="1" x14ac:dyDescent="0.3">
      <c r="B66" s="1">
        <f t="shared" si="55"/>
        <v>45831</v>
      </c>
      <c r="C66" s="7" t="str">
        <f t="shared" ref="C66" si="60">TEXT(B66, "dddd")</f>
        <v>Monday</v>
      </c>
      <c r="D66" s="7" t="s">
        <v>6</v>
      </c>
      <c r="E66" s="7" t="s">
        <v>33</v>
      </c>
      <c r="F66" s="7" t="s">
        <v>34</v>
      </c>
      <c r="G66" s="8">
        <v>6.9444444444444448E-2</v>
      </c>
      <c r="H66" s="8">
        <v>9.166666666666666E-2</v>
      </c>
      <c r="I66" s="9">
        <f t="shared" si="56"/>
        <v>31.999999999999986</v>
      </c>
      <c r="J66" s="8">
        <v>0.26041666666666669</v>
      </c>
      <c r="K66" s="8">
        <v>0.28611111111111109</v>
      </c>
      <c r="L66" s="9">
        <f t="shared" si="57"/>
        <v>36.99999999999995</v>
      </c>
      <c r="M66" s="10">
        <f>($Q$19-Table1[[#This Row],[Arrival]])*1440</f>
        <v>78.000000000000043</v>
      </c>
    </row>
    <row r="67" spans="2:13" ht="15.75" thickBot="1" x14ac:dyDescent="0.3">
      <c r="B67" s="1">
        <f t="shared" si="55"/>
        <v>45830</v>
      </c>
      <c r="C67" s="7" t="s">
        <v>36</v>
      </c>
      <c r="D67" s="7" t="s">
        <v>6</v>
      </c>
      <c r="E67" s="7" t="s">
        <v>33</v>
      </c>
      <c r="F67" s="7" t="s">
        <v>34</v>
      </c>
      <c r="G67" s="8">
        <v>6.9444444444444448E-2</v>
      </c>
      <c r="H67" s="8">
        <v>8.3333333333333329E-2</v>
      </c>
      <c r="I67" s="9">
        <f t="shared" si="56"/>
        <v>19.999999999999989</v>
      </c>
      <c r="J67" s="8">
        <v>0.26041666666666669</v>
      </c>
      <c r="K67" s="8">
        <v>0.28472222222222221</v>
      </c>
      <c r="L67" s="9">
        <f t="shared" si="57"/>
        <v>34.999999999999957</v>
      </c>
      <c r="M67" s="10">
        <f>($Q$19-Table1[[#This Row],[Arrival]])*1440</f>
        <v>80.000000000000028</v>
      </c>
    </row>
    <row r="68" spans="2:13" ht="15.75" thickBot="1" x14ac:dyDescent="0.3">
      <c r="B68" s="1">
        <f t="shared" si="55"/>
        <v>45829</v>
      </c>
      <c r="C68" s="7" t="s">
        <v>37</v>
      </c>
      <c r="D68" s="7" t="s">
        <v>6</v>
      </c>
      <c r="E68" s="7" t="s">
        <v>33</v>
      </c>
      <c r="F68" s="7" t="s">
        <v>34</v>
      </c>
      <c r="G68" s="8">
        <v>6.9444444444444448E-2</v>
      </c>
      <c r="H68" s="8">
        <v>0.11666666666666667</v>
      </c>
      <c r="I68" s="9">
        <f t="shared" si="56"/>
        <v>68</v>
      </c>
      <c r="J68" s="8">
        <v>0.26041666666666669</v>
      </c>
      <c r="K68" s="8">
        <v>0.31597222222222221</v>
      </c>
      <c r="L68" s="9">
        <f t="shared" si="57"/>
        <v>79.999999999999957</v>
      </c>
      <c r="M68" s="10">
        <f>($Q$19-Table1[[#This Row],[Arrival]])*1440</f>
        <v>35.000000000000036</v>
      </c>
    </row>
    <row r="69" spans="2:13" ht="15.75" thickBot="1" x14ac:dyDescent="0.3">
      <c r="B69" s="1">
        <f t="shared" si="55"/>
        <v>45828</v>
      </c>
      <c r="C69" s="7" t="s">
        <v>38</v>
      </c>
      <c r="D69" s="7" t="s">
        <v>6</v>
      </c>
      <c r="E69" s="7" t="s">
        <v>33</v>
      </c>
      <c r="F69" s="7" t="s">
        <v>34</v>
      </c>
      <c r="G69" s="8">
        <v>6.9444444444444448E-2</v>
      </c>
      <c r="H69" s="8">
        <v>7.5694444444444439E-2</v>
      </c>
      <c r="I69" s="9">
        <f t="shared" si="56"/>
        <v>8.9999999999999876</v>
      </c>
      <c r="J69" s="8">
        <v>0.26041666666666669</v>
      </c>
      <c r="K69" s="8">
        <v>0.27291666666666664</v>
      </c>
      <c r="L69" s="9">
        <f t="shared" si="57"/>
        <v>17.999999999999936</v>
      </c>
      <c r="M69" s="10">
        <f>($Q$19-Table1[[#This Row],[Arrival]])*1440</f>
        <v>97.000000000000057</v>
      </c>
    </row>
    <row r="70" spans="2:13" ht="15.75" thickBot="1" x14ac:dyDescent="0.3">
      <c r="B70" s="1">
        <f t="shared" si="55"/>
        <v>45827</v>
      </c>
      <c r="C70" s="7" t="s">
        <v>39</v>
      </c>
      <c r="D70" s="7" t="s">
        <v>6</v>
      </c>
      <c r="E70" s="7" t="s">
        <v>33</v>
      </c>
      <c r="F70" s="7" t="s">
        <v>34</v>
      </c>
      <c r="G70" s="8">
        <v>6.9444444444444448E-2</v>
      </c>
      <c r="H70" s="8">
        <v>7.9861111111111105E-2</v>
      </c>
      <c r="I70" s="9">
        <f t="shared" si="56"/>
        <v>14.999999999999986</v>
      </c>
      <c r="J70" s="8">
        <v>0.26041666666666669</v>
      </c>
      <c r="K70" s="8">
        <v>0.27361111111111114</v>
      </c>
      <c r="L70" s="9">
        <f t="shared" si="57"/>
        <v>19.000000000000014</v>
      </c>
      <c r="M70" s="10">
        <f>($Q$19-Table1[[#This Row],[Arrival]])*1440</f>
        <v>95.999999999999972</v>
      </c>
    </row>
    <row r="71" spans="2:13" ht="15.75" thickBot="1" x14ac:dyDescent="0.3">
      <c r="B71" s="1">
        <f t="shared" si="55"/>
        <v>45826</v>
      </c>
      <c r="C71" s="7" t="s">
        <v>40</v>
      </c>
      <c r="D71" s="7" t="s">
        <v>6</v>
      </c>
      <c r="E71" s="7" t="s">
        <v>33</v>
      </c>
      <c r="F71" s="7" t="s">
        <v>34</v>
      </c>
      <c r="G71" s="8">
        <v>6.9444444444444448E-2</v>
      </c>
      <c r="H71" s="8">
        <v>9.2361111111111116E-2</v>
      </c>
      <c r="I71" s="9">
        <f t="shared" si="56"/>
        <v>33</v>
      </c>
      <c r="J71" s="8">
        <v>0.26041666666666669</v>
      </c>
      <c r="K71" s="8">
        <v>0.2902777777777778</v>
      </c>
      <c r="L71" s="9">
        <f t="shared" si="57"/>
        <v>43.000000000000007</v>
      </c>
      <c r="M71" s="10">
        <f>($Q$19-Table1[[#This Row],[Arrival]])*1440</f>
        <v>71.999999999999986</v>
      </c>
    </row>
    <row r="72" spans="2:13" ht="15.75" thickBot="1" x14ac:dyDescent="0.3">
      <c r="B72" s="1">
        <f t="shared" si="55"/>
        <v>45825</v>
      </c>
      <c r="C72" s="7" t="s">
        <v>32</v>
      </c>
      <c r="D72" s="7" t="s">
        <v>6</v>
      </c>
      <c r="E72" s="7" t="s">
        <v>33</v>
      </c>
      <c r="F72" s="7" t="s">
        <v>34</v>
      </c>
      <c r="G72" s="8">
        <v>6.9444444444444448E-2</v>
      </c>
      <c r="H72" s="8">
        <v>0.10138888888888889</v>
      </c>
      <c r="I72" s="9">
        <f t="shared" si="56"/>
        <v>46</v>
      </c>
      <c r="J72" s="8">
        <v>0.26041666666666669</v>
      </c>
      <c r="K72" s="8">
        <v>0.30486111111111114</v>
      </c>
      <c r="L72" s="9">
        <f t="shared" si="57"/>
        <v>64.000000000000014</v>
      </c>
      <c r="M72" s="10">
        <f>($Q$19-Table1[[#This Row],[Arrival]])*1440</f>
        <v>50.999999999999979</v>
      </c>
    </row>
    <row r="73" spans="2:13" ht="15.75" thickBot="1" x14ac:dyDescent="0.3">
      <c r="B73" s="1">
        <f t="shared" si="55"/>
        <v>45824</v>
      </c>
      <c r="C73" s="7" t="str">
        <f t="shared" ref="C73" si="61">TEXT(B73, "dddd")</f>
        <v>Monday</v>
      </c>
      <c r="D73" s="7" t="s">
        <v>6</v>
      </c>
      <c r="E73" s="7" t="s">
        <v>33</v>
      </c>
      <c r="F73" s="7" t="s">
        <v>34</v>
      </c>
      <c r="G73" s="8">
        <v>6.9444444444444448E-2</v>
      </c>
      <c r="H73" s="8">
        <v>9.375E-2</v>
      </c>
      <c r="I73" s="9">
        <f t="shared" si="56"/>
        <v>34.999999999999993</v>
      </c>
      <c r="J73" s="8">
        <v>0.26041666666666669</v>
      </c>
      <c r="K73" s="8">
        <v>0.24791666666666667</v>
      </c>
      <c r="L73" s="9">
        <f t="shared" si="57"/>
        <v>-18.000000000000014</v>
      </c>
      <c r="M73" s="10">
        <f>($Q$19-Table1[[#This Row],[Arrival]])*1440</f>
        <v>133</v>
      </c>
    </row>
    <row r="74" spans="2:13" ht="15.75" thickBot="1" x14ac:dyDescent="0.3">
      <c r="B74" s="1">
        <f t="shared" si="55"/>
        <v>45823</v>
      </c>
      <c r="C74" s="7" t="s">
        <v>36</v>
      </c>
      <c r="D74" s="7" t="s">
        <v>6</v>
      </c>
      <c r="E74" s="7" t="s">
        <v>33</v>
      </c>
      <c r="F74" s="7" t="s">
        <v>34</v>
      </c>
      <c r="G74" s="8">
        <v>6.9444444444444448E-2</v>
      </c>
      <c r="H74" s="8">
        <v>0.10902777777777778</v>
      </c>
      <c r="I74" s="9">
        <f t="shared" si="56"/>
        <v>57</v>
      </c>
      <c r="J74" s="8">
        <v>0.26041666666666669</v>
      </c>
      <c r="K74" s="8">
        <v>0.3215277777777778</v>
      </c>
      <c r="L74" s="9">
        <f t="shared" si="57"/>
        <v>88</v>
      </c>
      <c r="M74" s="10">
        <f>($Q$19-Table1[[#This Row],[Arrival]])*1440</f>
        <v>26.999999999999986</v>
      </c>
    </row>
    <row r="75" spans="2:13" ht="15.75" thickBot="1" x14ac:dyDescent="0.3">
      <c r="B75" s="1">
        <f t="shared" si="55"/>
        <v>45822</v>
      </c>
      <c r="C75" s="7" t="s">
        <v>37</v>
      </c>
      <c r="D75" s="7" t="s">
        <v>6</v>
      </c>
      <c r="E75" s="7" t="s">
        <v>33</v>
      </c>
      <c r="F75" s="7" t="s">
        <v>34</v>
      </c>
      <c r="G75" s="8">
        <v>6.9444444444444448E-2</v>
      </c>
      <c r="H75" s="8">
        <v>9.6527777777777782E-2</v>
      </c>
      <c r="I75" s="9">
        <f t="shared" si="56"/>
        <v>39</v>
      </c>
      <c r="J75" s="8">
        <v>0.26041666666666669</v>
      </c>
      <c r="K75" s="8">
        <v>0.29375000000000001</v>
      </c>
      <c r="L75" s="9">
        <f t="shared" si="57"/>
        <v>47.999999999999986</v>
      </c>
      <c r="M75" s="10">
        <f>($Q$19-Table1[[#This Row],[Arrival]])*1440</f>
        <v>67</v>
      </c>
    </row>
    <row r="76" spans="2:13" ht="15.75" thickBot="1" x14ac:dyDescent="0.3">
      <c r="B76" s="1">
        <f t="shared" si="55"/>
        <v>45821</v>
      </c>
      <c r="C76" s="7" t="s">
        <v>38</v>
      </c>
      <c r="D76" s="7" t="s">
        <v>6</v>
      </c>
      <c r="E76" s="7" t="s">
        <v>33</v>
      </c>
      <c r="F76" s="7" t="s">
        <v>34</v>
      </c>
      <c r="G76" s="8">
        <v>6.9444444444444448E-2</v>
      </c>
      <c r="H76" s="8">
        <v>8.4722222222222227E-2</v>
      </c>
      <c r="I76" s="9">
        <f t="shared" si="56"/>
        <v>22</v>
      </c>
      <c r="J76" s="8">
        <v>0.26041666666666669</v>
      </c>
      <c r="K76" s="8">
        <v>0.27291666666666664</v>
      </c>
      <c r="L76" s="9">
        <f t="shared" si="57"/>
        <v>17.999999999999936</v>
      </c>
      <c r="M76" s="10">
        <f>($Q$19-Table1[[#This Row],[Arrival]])*1440</f>
        <v>97.000000000000057</v>
      </c>
    </row>
    <row r="77" spans="2:13" ht="15.75" thickBot="1" x14ac:dyDescent="0.3">
      <c r="B77" s="1">
        <f t="shared" si="55"/>
        <v>45820</v>
      </c>
      <c r="C77" s="7" t="s">
        <v>39</v>
      </c>
      <c r="D77" s="7" t="s">
        <v>6</v>
      </c>
      <c r="E77" s="7" t="s">
        <v>33</v>
      </c>
      <c r="F77" s="7" t="s">
        <v>34</v>
      </c>
      <c r="G77" s="8">
        <v>6.9444444444444448E-2</v>
      </c>
      <c r="H77" s="8">
        <v>6.5277777777777782E-2</v>
      </c>
      <c r="I77" s="9">
        <f t="shared" si="56"/>
        <v>-5.9999999999999982</v>
      </c>
      <c r="J77" s="8">
        <v>0.26041666666666669</v>
      </c>
      <c r="K77" s="8">
        <v>0.24930555555555556</v>
      </c>
      <c r="L77" s="9">
        <f t="shared" si="57"/>
        <v>-16.000000000000021</v>
      </c>
      <c r="M77" s="10">
        <f>($Q$19-Table1[[#This Row],[Arrival]])*1440</f>
        <v>131</v>
      </c>
    </row>
    <row r="78" spans="2:13" ht="15.75" thickBot="1" x14ac:dyDescent="0.3">
      <c r="B78" s="1">
        <f>B79+1</f>
        <v>45819</v>
      </c>
      <c r="C78" s="7" t="s">
        <v>40</v>
      </c>
      <c r="D78" s="7" t="s">
        <v>6</v>
      </c>
      <c r="E78" s="7" t="s">
        <v>33</v>
      </c>
      <c r="F78" s="7" t="s">
        <v>34</v>
      </c>
      <c r="G78" s="8">
        <v>6.9444444444444448E-2</v>
      </c>
      <c r="H78" s="8">
        <v>6.8750000000000006E-2</v>
      </c>
      <c r="I78" s="9">
        <f t="shared" si="56"/>
        <v>-0.99999999999999645</v>
      </c>
      <c r="J78" s="8">
        <v>0.26041666666666669</v>
      </c>
      <c r="K78" s="8">
        <v>0.25555555555555554</v>
      </c>
      <c r="L78" s="9">
        <f t="shared" si="57"/>
        <v>-7.0000000000000551</v>
      </c>
      <c r="M78" s="10">
        <f>($Q$19-Table1[[#This Row],[Arrival]])*1440</f>
        <v>122.00000000000004</v>
      </c>
    </row>
    <row r="79" spans="2:13" ht="15.75" thickBot="1" x14ac:dyDescent="0.3">
      <c r="B79" s="1">
        <f>B80+1</f>
        <v>45818</v>
      </c>
      <c r="C79" s="7" t="s">
        <v>32</v>
      </c>
      <c r="D79" s="7" t="s">
        <v>6</v>
      </c>
      <c r="E79" s="7" t="s">
        <v>33</v>
      </c>
      <c r="F79" s="7" t="s">
        <v>34</v>
      </c>
      <c r="G79" s="8">
        <v>6.9444444444444448E-2</v>
      </c>
      <c r="H79" s="8">
        <v>7.2916666666666671E-2</v>
      </c>
      <c r="I79" s="9">
        <f t="shared" si="56"/>
        <v>5.0000000000000018</v>
      </c>
      <c r="J79" s="8">
        <v>0.26041666666666669</v>
      </c>
      <c r="K79" s="8">
        <v>0.25763888888888886</v>
      </c>
      <c r="L79" s="9">
        <f t="shared" si="57"/>
        <v>-4.0000000000000657</v>
      </c>
      <c r="M79" s="10">
        <f>($Q$19-Table1[[#This Row],[Arrival]])*1440</f>
        <v>119.00000000000006</v>
      </c>
    </row>
    <row r="80" spans="2:13" ht="15.75" thickBot="1" x14ac:dyDescent="0.3">
      <c r="B80" s="1">
        <f>B81+1</f>
        <v>45817</v>
      </c>
      <c r="C80" s="7" t="str">
        <f t="shared" ref="C80" si="62">TEXT(B80, "dddd")</f>
        <v>Monday</v>
      </c>
      <c r="D80" s="7" t="s">
        <v>6</v>
      </c>
      <c r="E80" s="7" t="s">
        <v>33</v>
      </c>
      <c r="F80" s="7" t="s">
        <v>34</v>
      </c>
      <c r="G80" s="8">
        <v>6.9444444444444448E-2</v>
      </c>
      <c r="H80" s="8">
        <v>9.7222222222222224E-2</v>
      </c>
      <c r="I80" s="9">
        <f t="shared" si="56"/>
        <v>40</v>
      </c>
      <c r="J80" s="8">
        <v>0.26041666666666669</v>
      </c>
      <c r="K80" s="8">
        <v>0.28194444444444444</v>
      </c>
      <c r="L80" s="9">
        <f t="shared" si="57"/>
        <v>30.999999999999972</v>
      </c>
      <c r="M80" s="10">
        <f>($Q$19-Table1[[#This Row],[Arrival]])*1440</f>
        <v>84.000000000000028</v>
      </c>
    </row>
    <row r="81" spans="2:13" ht="15.75" thickBot="1" x14ac:dyDescent="0.3">
      <c r="B81" s="1">
        <f>B82+1</f>
        <v>45816</v>
      </c>
      <c r="C81" s="7" t="s">
        <v>36</v>
      </c>
      <c r="D81" s="7" t="s">
        <v>6</v>
      </c>
      <c r="E81" s="7" t="s">
        <v>33</v>
      </c>
      <c r="F81" s="7" t="s">
        <v>34</v>
      </c>
      <c r="G81" s="8">
        <v>6.9444444444444448E-2</v>
      </c>
      <c r="H81" s="8">
        <v>6.9444444444444448E-2</v>
      </c>
      <c r="I81" s="9">
        <f t="shared" si="56"/>
        <v>0</v>
      </c>
      <c r="J81" s="8">
        <v>0.26041666666666669</v>
      </c>
      <c r="K81" s="8">
        <v>0.25833333333333336</v>
      </c>
      <c r="L81" s="9">
        <f t="shared" si="57"/>
        <v>-2.9999999999999893</v>
      </c>
      <c r="M81" s="10">
        <f>($Q$19-Table1[[#This Row],[Arrival]])*1440</f>
        <v>117.99999999999999</v>
      </c>
    </row>
    <row r="82" spans="2:13" ht="15.75" thickBot="1" x14ac:dyDescent="0.3">
      <c r="B82" s="1">
        <v>45815</v>
      </c>
      <c r="C82" s="7" t="s">
        <v>37</v>
      </c>
      <c r="D82" s="7" t="s">
        <v>6</v>
      </c>
      <c r="E82" s="7" t="s">
        <v>33</v>
      </c>
      <c r="F82" s="7" t="s">
        <v>34</v>
      </c>
      <c r="G82" s="8">
        <v>6.9444444444444448E-2</v>
      </c>
      <c r="H82" s="8">
        <v>7.7777777777777779E-2</v>
      </c>
      <c r="I82" s="9">
        <f t="shared" si="56"/>
        <v>11.999999999999996</v>
      </c>
      <c r="J82" s="8">
        <v>0.26041666666666669</v>
      </c>
      <c r="K82" s="8">
        <v>0.25624999999999998</v>
      </c>
      <c r="L82" s="9">
        <f t="shared" si="57"/>
        <v>-6.0000000000000586</v>
      </c>
      <c r="M82" s="10">
        <f>($Q$19-Table1[[#This Row],[Arrival]])*1440</f>
        <v>121.00000000000006</v>
      </c>
    </row>
    <row r="83" spans="2:13" ht="15.75" thickBot="1" x14ac:dyDescent="0.3">
      <c r="B83" s="1">
        <v>45814</v>
      </c>
      <c r="C83" s="7" t="s">
        <v>38</v>
      </c>
      <c r="D83" s="7" t="s">
        <v>6</v>
      </c>
      <c r="E83" s="7" t="s">
        <v>33</v>
      </c>
      <c r="F83" s="7" t="s">
        <v>34</v>
      </c>
      <c r="G83" s="8">
        <v>6.9444444444444448E-2</v>
      </c>
      <c r="H83" s="8">
        <v>0.11041666666666666</v>
      </c>
      <c r="I83" s="9">
        <f t="shared" si="56"/>
        <v>58.999999999999993</v>
      </c>
      <c r="J83" s="8">
        <v>0.26041666666666669</v>
      </c>
      <c r="K83" s="8">
        <v>0.28888888888888886</v>
      </c>
      <c r="L83" s="9">
        <f t="shared" si="57"/>
        <v>40.999999999999936</v>
      </c>
      <c r="M83" s="10">
        <f>($Q$19-Table1[[#This Row],[Arrival]])*1440</f>
        <v>74.000000000000057</v>
      </c>
    </row>
    <row r="84" spans="2:13" ht="15.75" thickBot="1" x14ac:dyDescent="0.3">
      <c r="B84" s="1">
        <v>45813</v>
      </c>
      <c r="C84" s="7" t="s">
        <v>39</v>
      </c>
      <c r="D84" s="7" t="s">
        <v>6</v>
      </c>
      <c r="E84" s="7" t="s">
        <v>33</v>
      </c>
      <c r="F84" s="7" t="s">
        <v>34</v>
      </c>
      <c r="G84" s="8">
        <v>6.9444444444444448E-2</v>
      </c>
      <c r="H84" s="8">
        <v>8.819444444444445E-2</v>
      </c>
      <c r="I84" s="9">
        <f t="shared" si="56"/>
        <v>27.000000000000004</v>
      </c>
      <c r="J84" s="8">
        <v>0.26041666666666669</v>
      </c>
      <c r="K84" s="8">
        <v>0.2722222222222222</v>
      </c>
      <c r="L84" s="9">
        <f t="shared" si="57"/>
        <v>16.99999999999994</v>
      </c>
      <c r="M84" s="10">
        <f>($Q$19-Table1[[#This Row],[Arrival]])*1440</f>
        <v>98.000000000000057</v>
      </c>
    </row>
    <row r="85" spans="2:13" ht="15.75" thickBot="1" x14ac:dyDescent="0.3">
      <c r="B85" s="1">
        <v>45812</v>
      </c>
      <c r="C85" s="7" t="s">
        <v>40</v>
      </c>
      <c r="D85" s="7" t="s">
        <v>6</v>
      </c>
      <c r="E85" s="7" t="s">
        <v>33</v>
      </c>
      <c r="F85" s="7" t="s">
        <v>34</v>
      </c>
      <c r="G85" s="8">
        <v>6.9444444444444448E-2</v>
      </c>
      <c r="H85" s="8">
        <v>6.9444444444444448E-2</v>
      </c>
      <c r="I85" s="9">
        <f t="shared" si="56"/>
        <v>0</v>
      </c>
      <c r="J85" s="8">
        <v>0.26041666666666669</v>
      </c>
      <c r="K85" s="8">
        <v>0.25069444444444444</v>
      </c>
      <c r="L85" s="9">
        <f t="shared" si="57"/>
        <v>-14.00000000000003</v>
      </c>
      <c r="M85" s="10">
        <f>($Q$19-Table1[[#This Row],[Arrival]])*1440</f>
        <v>129.00000000000003</v>
      </c>
    </row>
    <row r="86" spans="2:13" ht="15.75" thickBot="1" x14ac:dyDescent="0.3">
      <c r="B86" s="1">
        <v>45811</v>
      </c>
      <c r="C86" s="7" t="s">
        <v>32</v>
      </c>
      <c r="D86" s="7" t="s">
        <v>6</v>
      </c>
      <c r="E86" s="7" t="s">
        <v>33</v>
      </c>
      <c r="F86" s="7" t="s">
        <v>34</v>
      </c>
      <c r="G86" s="8">
        <v>6.9444444444444448E-2</v>
      </c>
      <c r="H86" s="8">
        <v>7.1527777777777773E-2</v>
      </c>
      <c r="I86" s="9">
        <f t="shared" si="56"/>
        <v>2.9999999999999893</v>
      </c>
      <c r="J86" s="8">
        <v>0.26041666666666669</v>
      </c>
      <c r="K86" s="8">
        <v>0.25069444444444444</v>
      </c>
      <c r="L86" s="9">
        <f t="shared" si="57"/>
        <v>-14.00000000000003</v>
      </c>
      <c r="M86" s="10">
        <f>($Q$19-Table1[[#This Row],[Arrival]])*1440</f>
        <v>129.00000000000003</v>
      </c>
    </row>
    <row r="87" spans="2:13" ht="15.75" thickBot="1" x14ac:dyDescent="0.3">
      <c r="B87" s="2">
        <v>45810</v>
      </c>
      <c r="C87" s="7" t="str">
        <f t="shared" ref="C87" si="63">TEXT(B87, "dddd")</f>
        <v>Monday</v>
      </c>
      <c r="D87" s="7" t="s">
        <v>6</v>
      </c>
      <c r="E87" s="7" t="s">
        <v>33</v>
      </c>
      <c r="F87" s="7" t="s">
        <v>34</v>
      </c>
      <c r="G87" s="8">
        <v>6.9444444444444448E-2</v>
      </c>
      <c r="H87" s="8">
        <v>0.17430555555555555</v>
      </c>
      <c r="I87" s="9">
        <f t="shared" si="56"/>
        <v>150.99999999999997</v>
      </c>
      <c r="J87" s="8">
        <v>0.26041666666666669</v>
      </c>
      <c r="K87" s="8">
        <v>0.34791666666666665</v>
      </c>
      <c r="L87" s="9">
        <f t="shared" si="57"/>
        <v>125.99999999999996</v>
      </c>
      <c r="M87" s="10">
        <f>($Q$19-Table1[[#This Row],[Arrival]])*1440</f>
        <v>-10.999999999999961</v>
      </c>
    </row>
    <row r="88" spans="2:13" ht="15.75" thickBot="1" x14ac:dyDescent="0.3">
      <c r="B88" s="1">
        <v>45809</v>
      </c>
      <c r="C88" s="7" t="s">
        <v>36</v>
      </c>
      <c r="D88" s="7" t="s">
        <v>6</v>
      </c>
      <c r="E88" s="7" t="s">
        <v>33</v>
      </c>
      <c r="F88" s="7" t="s">
        <v>34</v>
      </c>
      <c r="G88" s="8">
        <v>6.9444444444444448E-2</v>
      </c>
      <c r="H88" s="8">
        <v>7.6388888888888895E-2</v>
      </c>
      <c r="I88" s="9">
        <f t="shared" si="56"/>
        <v>10.000000000000004</v>
      </c>
      <c r="J88" s="8">
        <v>0.26041666666666669</v>
      </c>
      <c r="K88" s="8">
        <v>0.25</v>
      </c>
      <c r="L88" s="9">
        <f t="shared" si="57"/>
        <v>-15.000000000000027</v>
      </c>
      <c r="M88" s="10">
        <f>($Q$19-Table1[[#This Row],[Arrival]])*1440</f>
        <v>130.00000000000003</v>
      </c>
    </row>
    <row r="89" spans="2:13" ht="15.75" thickBot="1" x14ac:dyDescent="0.3">
      <c r="B89" s="1">
        <v>45808</v>
      </c>
      <c r="C89" s="7" t="s">
        <v>37</v>
      </c>
      <c r="D89" s="7" t="s">
        <v>6</v>
      </c>
      <c r="E89" s="7" t="s">
        <v>33</v>
      </c>
      <c r="F89" s="7" t="s">
        <v>34</v>
      </c>
      <c r="G89" s="8">
        <v>6.9444444444444448E-2</v>
      </c>
      <c r="H89" s="8">
        <v>7.4999999999999997E-2</v>
      </c>
      <c r="I89" s="9">
        <f t="shared" si="56"/>
        <v>7.9999999999999911</v>
      </c>
      <c r="J89" s="8">
        <v>0.26041666666666669</v>
      </c>
      <c r="K89" s="8">
        <v>0.24444444444444444</v>
      </c>
      <c r="L89" s="9">
        <f t="shared" si="57"/>
        <v>-23.000000000000039</v>
      </c>
      <c r="M89" s="10">
        <f>($Q$19-Table1[[#This Row],[Arrival]])*1440</f>
        <v>138.00000000000003</v>
      </c>
    </row>
    <row r="90" spans="2:13" ht="15.75" thickBot="1" x14ac:dyDescent="0.3">
      <c r="B90" s="1">
        <v>45807</v>
      </c>
      <c r="C90" s="7" t="s">
        <v>38</v>
      </c>
      <c r="D90" s="7" t="s">
        <v>6</v>
      </c>
      <c r="E90" s="7" t="s">
        <v>33</v>
      </c>
      <c r="F90" s="7" t="s">
        <v>34</v>
      </c>
      <c r="G90" s="8">
        <v>6.9444444444444448E-2</v>
      </c>
      <c r="H90" s="8">
        <v>7.9861111111111105E-2</v>
      </c>
      <c r="I90" s="9">
        <f t="shared" si="56"/>
        <v>14.999999999999986</v>
      </c>
      <c r="J90" s="8">
        <v>0.26041666666666669</v>
      </c>
      <c r="K90" s="8">
        <v>0.25486111111111109</v>
      </c>
      <c r="L90" s="9">
        <f t="shared" si="57"/>
        <v>-8.0000000000000515</v>
      </c>
      <c r="M90" s="10">
        <f>($Q$19-Table1[[#This Row],[Arrival]])*1440</f>
        <v>123.00000000000004</v>
      </c>
    </row>
    <row r="91" spans="2:13" ht="15.75" thickBot="1" x14ac:dyDescent="0.3">
      <c r="B91" s="1">
        <v>45806</v>
      </c>
      <c r="C91" s="7" t="s">
        <v>39</v>
      </c>
      <c r="D91" s="7" t="s">
        <v>6</v>
      </c>
      <c r="E91" s="7" t="s">
        <v>33</v>
      </c>
      <c r="F91" s="7" t="s">
        <v>34</v>
      </c>
      <c r="G91" s="8">
        <v>6.9444444444444448E-2</v>
      </c>
      <c r="H91" s="8">
        <v>7.9166666666666663E-2</v>
      </c>
      <c r="I91" s="9">
        <f t="shared" si="56"/>
        <v>13.999999999999989</v>
      </c>
      <c r="J91" s="8">
        <v>0.26041666666666669</v>
      </c>
      <c r="K91" s="8">
        <v>0.25972222222222224</v>
      </c>
      <c r="L91" s="9">
        <f t="shared" si="57"/>
        <v>-0.99999999999999645</v>
      </c>
      <c r="M91" s="10">
        <f>($Q$19-Table1[[#This Row],[Arrival]])*1440</f>
        <v>115.99999999999999</v>
      </c>
    </row>
    <row r="92" spans="2:13" ht="15.75" thickBot="1" x14ac:dyDescent="0.3">
      <c r="B92" s="1">
        <v>45805</v>
      </c>
      <c r="C92" s="7" t="s">
        <v>40</v>
      </c>
      <c r="D92" s="7" t="s">
        <v>6</v>
      </c>
      <c r="E92" s="7" t="s">
        <v>33</v>
      </c>
      <c r="F92" s="7" t="s">
        <v>34</v>
      </c>
      <c r="G92" s="8">
        <v>6.9444444444444448E-2</v>
      </c>
      <c r="H92" s="8">
        <v>6.8750000000000006E-2</v>
      </c>
      <c r="I92" s="9">
        <f t="shared" si="56"/>
        <v>-0.99999999999999645</v>
      </c>
      <c r="J92" s="8">
        <v>0.26041666666666669</v>
      </c>
      <c r="K92" s="8">
        <v>0.25208333333333333</v>
      </c>
      <c r="L92" s="9">
        <f t="shared" si="57"/>
        <v>-12.000000000000037</v>
      </c>
      <c r="M92" s="10">
        <f>($Q$19-Table1[[#This Row],[Arrival]])*1440</f>
        <v>127.00000000000003</v>
      </c>
    </row>
    <row r="93" spans="2:13" ht="15.75" thickBot="1" x14ac:dyDescent="0.3">
      <c r="B93" s="1">
        <v>45804</v>
      </c>
      <c r="C93" s="7" t="s">
        <v>32</v>
      </c>
      <c r="D93" s="7" t="s">
        <v>6</v>
      </c>
      <c r="E93" s="7" t="s">
        <v>33</v>
      </c>
      <c r="F93" s="7" t="s">
        <v>34</v>
      </c>
      <c r="G93" s="8">
        <v>6.9444444444444448E-2</v>
      </c>
      <c r="H93" s="8">
        <v>0.12083333333333333</v>
      </c>
      <c r="I93" s="9">
        <f t="shared" si="56"/>
        <v>74</v>
      </c>
      <c r="J93" s="8">
        <v>0.26041666666666669</v>
      </c>
      <c r="K93" s="8">
        <v>0.30486111111111114</v>
      </c>
      <c r="L93" s="9">
        <f t="shared" si="57"/>
        <v>64.000000000000014</v>
      </c>
      <c r="M93" s="10">
        <f>($Q$19-Table1[[#This Row],[Arrival]])*1440</f>
        <v>50.999999999999979</v>
      </c>
    </row>
    <row r="94" spans="2:13" ht="15.75" thickBot="1" x14ac:dyDescent="0.3">
      <c r="B94" s="1">
        <v>45803</v>
      </c>
      <c r="C94" s="7" t="str">
        <f t="shared" ref="C94" si="64">TEXT(B94, "dddd")</f>
        <v>Monday</v>
      </c>
      <c r="D94" s="7" t="s">
        <v>6</v>
      </c>
      <c r="E94" s="7" t="s">
        <v>33</v>
      </c>
      <c r="F94" s="7" t="s">
        <v>34</v>
      </c>
      <c r="G94" s="8">
        <v>6.9444444444444448E-2</v>
      </c>
      <c r="H94" s="8">
        <v>7.6388888888888895E-2</v>
      </c>
      <c r="I94" s="9">
        <f t="shared" si="56"/>
        <v>10.000000000000004</v>
      </c>
      <c r="J94" s="8">
        <v>0.26041666666666669</v>
      </c>
      <c r="K94" s="8">
        <v>0.25972222222222224</v>
      </c>
      <c r="L94" s="9">
        <f t="shared" si="57"/>
        <v>-0.99999999999999645</v>
      </c>
      <c r="M94" s="10">
        <f>($Q$19-Table1[[#This Row],[Arrival]])*1440</f>
        <v>115.99999999999999</v>
      </c>
    </row>
    <row r="95" spans="2:13" ht="15.75" thickBot="1" x14ac:dyDescent="0.3">
      <c r="B95" s="1">
        <v>45802</v>
      </c>
      <c r="C95" s="7" t="s">
        <v>36</v>
      </c>
      <c r="D95" s="7" t="s">
        <v>6</v>
      </c>
      <c r="E95" s="7" t="s">
        <v>33</v>
      </c>
      <c r="F95" s="7" t="s">
        <v>34</v>
      </c>
      <c r="G95" s="8">
        <v>6.9444444444444448E-2</v>
      </c>
      <c r="H95" s="8">
        <v>0.10208333333333333</v>
      </c>
      <c r="I95" s="9">
        <f t="shared" si="56"/>
        <v>46.999999999999993</v>
      </c>
      <c r="J95" s="8">
        <v>0.26041666666666669</v>
      </c>
      <c r="K95" s="8">
        <v>0.28541666666666665</v>
      </c>
      <c r="L95" s="9">
        <f t="shared" si="57"/>
        <v>35.99999999999995</v>
      </c>
      <c r="M95" s="10">
        <f>($Q$19-Table1[[#This Row],[Arrival]])*1440</f>
        <v>79.000000000000043</v>
      </c>
    </row>
    <row r="96" spans="2:13" ht="15.75" thickBot="1" x14ac:dyDescent="0.3">
      <c r="B96" s="1">
        <v>45801</v>
      </c>
      <c r="C96" s="7" t="s">
        <v>37</v>
      </c>
      <c r="D96" s="7" t="s">
        <v>6</v>
      </c>
      <c r="E96" s="7" t="s">
        <v>33</v>
      </c>
      <c r="F96" s="7" t="s">
        <v>34</v>
      </c>
      <c r="G96" s="8">
        <v>6.9444444444444448E-2</v>
      </c>
      <c r="H96" s="8">
        <v>7.3611111111111113E-2</v>
      </c>
      <c r="I96" s="9">
        <f t="shared" si="56"/>
        <v>5.9999999999999982</v>
      </c>
      <c r="J96" s="8">
        <v>0.26041666666666669</v>
      </c>
      <c r="K96" s="8">
        <v>0.25694444444444442</v>
      </c>
      <c r="L96" s="9">
        <f t="shared" si="57"/>
        <v>-5.0000000000000622</v>
      </c>
      <c r="M96" s="10">
        <f>($Q$19-Table1[[#This Row],[Arrival]])*1440</f>
        <v>120.00000000000006</v>
      </c>
    </row>
    <row r="97" spans="2:13" ht="15.75" thickBot="1" x14ac:dyDescent="0.3">
      <c r="B97" s="1">
        <v>45800</v>
      </c>
      <c r="C97" s="7" t="s">
        <v>38</v>
      </c>
      <c r="D97" s="7" t="s">
        <v>6</v>
      </c>
      <c r="E97" s="7" t="s">
        <v>33</v>
      </c>
      <c r="F97" s="7" t="s">
        <v>34</v>
      </c>
      <c r="G97" s="8">
        <v>6.9444444444444448E-2</v>
      </c>
      <c r="H97" s="8">
        <v>7.8472222222222221E-2</v>
      </c>
      <c r="I97" s="9">
        <f t="shared" si="56"/>
        <v>12.999999999999993</v>
      </c>
      <c r="J97" s="8">
        <v>0.26041666666666669</v>
      </c>
      <c r="K97" s="8">
        <v>0.26111111111111113</v>
      </c>
      <c r="L97" s="9">
        <f t="shared" si="57"/>
        <v>0.99999999999999645</v>
      </c>
      <c r="M97" s="10">
        <f>($Q$19-Table1[[#This Row],[Arrival]])*1440</f>
        <v>114</v>
      </c>
    </row>
    <row r="98" spans="2:13" ht="15.75" thickBot="1" x14ac:dyDescent="0.3">
      <c r="B98" s="1">
        <v>45799</v>
      </c>
      <c r="C98" s="7" t="s">
        <v>39</v>
      </c>
      <c r="D98" s="7" t="s">
        <v>6</v>
      </c>
      <c r="E98" s="7" t="s">
        <v>33</v>
      </c>
      <c r="F98" s="7" t="s">
        <v>34</v>
      </c>
      <c r="G98" s="8">
        <v>6.9444444444444448E-2</v>
      </c>
      <c r="H98" s="8">
        <v>0.10416666666666667</v>
      </c>
      <c r="I98" s="9">
        <f t="shared" si="56"/>
        <v>50</v>
      </c>
      <c r="J98" s="8">
        <v>0.26041666666666669</v>
      </c>
      <c r="K98" s="8">
        <v>0.29583333333333334</v>
      </c>
      <c r="L98" s="9">
        <f t="shared" si="57"/>
        <v>50.999999999999979</v>
      </c>
      <c r="M98" s="10">
        <f>($Q$19-Table1[[#This Row],[Arrival]])*1440</f>
        <v>64.000000000000014</v>
      </c>
    </row>
    <row r="99" spans="2:13" ht="15.75" thickBot="1" x14ac:dyDescent="0.3">
      <c r="B99" s="1">
        <v>45798</v>
      </c>
      <c r="C99" s="7" t="s">
        <v>40</v>
      </c>
      <c r="D99" s="7" t="s">
        <v>6</v>
      </c>
      <c r="E99" s="7" t="s">
        <v>33</v>
      </c>
      <c r="F99" s="7" t="s">
        <v>34</v>
      </c>
      <c r="G99" s="8">
        <v>6.9444444444444448E-2</v>
      </c>
      <c r="H99" s="8">
        <v>0.11319444444444444</v>
      </c>
      <c r="I99" s="9">
        <f t="shared" si="56"/>
        <v>62.999999999999993</v>
      </c>
      <c r="J99" s="8">
        <v>0.26041666666666669</v>
      </c>
      <c r="K99" s="8">
        <v>0.2951388888888889</v>
      </c>
      <c r="L99" s="9">
        <f t="shared" si="57"/>
        <v>49.999999999999986</v>
      </c>
      <c r="M99" s="10">
        <f>($Q$19-Table1[[#This Row],[Arrival]])*1440</f>
        <v>65.000000000000014</v>
      </c>
    </row>
    <row r="100" spans="2:13" ht="15.75" thickBot="1" x14ac:dyDescent="0.3">
      <c r="B100" s="1">
        <v>45797</v>
      </c>
      <c r="C100" s="7" t="s">
        <v>32</v>
      </c>
      <c r="D100" s="7" t="s">
        <v>6</v>
      </c>
      <c r="E100" s="7" t="s">
        <v>33</v>
      </c>
      <c r="F100" s="7" t="s">
        <v>34</v>
      </c>
      <c r="G100" s="8">
        <v>6.9444444444444448E-2</v>
      </c>
      <c r="H100" s="8">
        <v>8.7499999999999994E-2</v>
      </c>
      <c r="I100" s="9">
        <f t="shared" si="56"/>
        <v>25.999999999999986</v>
      </c>
      <c r="J100" s="8">
        <v>0.26041666666666669</v>
      </c>
      <c r="K100" s="8">
        <v>0.27361111111111114</v>
      </c>
      <c r="L100" s="9">
        <f t="shared" si="57"/>
        <v>19.000000000000014</v>
      </c>
      <c r="M100" s="10">
        <f>($Q$19-Table1[[#This Row],[Arrival]])*1440</f>
        <v>95.999999999999972</v>
      </c>
    </row>
    <row r="101" spans="2:13" ht="15.75" thickBot="1" x14ac:dyDescent="0.3">
      <c r="B101" s="1">
        <v>45796</v>
      </c>
      <c r="C101" s="7" t="str">
        <f t="shared" ref="C101" si="65">TEXT(B101, "dddd")</f>
        <v>Monday</v>
      </c>
      <c r="D101" s="7" t="s">
        <v>6</v>
      </c>
      <c r="E101" s="7" t="s">
        <v>33</v>
      </c>
      <c r="F101" s="7" t="s">
        <v>34</v>
      </c>
      <c r="G101" s="8">
        <v>6.9444444444444448E-2</v>
      </c>
      <c r="H101" s="8">
        <v>8.4722222222222227E-2</v>
      </c>
      <c r="I101" s="9">
        <f t="shared" si="56"/>
        <v>22</v>
      </c>
      <c r="J101" s="8">
        <v>0.26041666666666669</v>
      </c>
      <c r="K101" s="8">
        <v>0.2722222222222222</v>
      </c>
      <c r="L101" s="9">
        <f t="shared" si="57"/>
        <v>16.99999999999994</v>
      </c>
      <c r="M101" s="10">
        <f>($Q$19-Table1[[#This Row],[Arrival]])*1440</f>
        <v>98.000000000000057</v>
      </c>
    </row>
    <row r="102" spans="2:13" ht="15.75" thickBot="1" x14ac:dyDescent="0.3">
      <c r="B102" s="1">
        <v>45795</v>
      </c>
      <c r="C102" s="7" t="s">
        <v>36</v>
      </c>
      <c r="D102" s="7" t="s">
        <v>6</v>
      </c>
      <c r="E102" s="7" t="s">
        <v>33</v>
      </c>
      <c r="F102" s="7" t="s">
        <v>34</v>
      </c>
      <c r="G102" s="8">
        <v>6.9444444444444448E-2</v>
      </c>
      <c r="H102" s="8">
        <v>9.0972222222222218E-2</v>
      </c>
      <c r="I102" s="9">
        <f t="shared" si="56"/>
        <v>30.999999999999989</v>
      </c>
      <c r="J102" s="8">
        <v>0.26041666666666669</v>
      </c>
      <c r="K102" s="8">
        <v>0.27430555555555558</v>
      </c>
      <c r="L102" s="9">
        <f t="shared" si="57"/>
        <v>20.000000000000007</v>
      </c>
      <c r="M102" s="10">
        <f>($Q$19-Table1[[#This Row],[Arrival]])*1440</f>
        <v>94.999999999999986</v>
      </c>
    </row>
    <row r="103" spans="2:13" ht="15.75" thickBot="1" x14ac:dyDescent="0.3">
      <c r="B103" s="1">
        <v>45794</v>
      </c>
      <c r="C103" s="7" t="s">
        <v>37</v>
      </c>
      <c r="D103" s="7" t="s">
        <v>6</v>
      </c>
      <c r="E103" s="7" t="s">
        <v>33</v>
      </c>
      <c r="F103" s="7" t="s">
        <v>34</v>
      </c>
      <c r="G103" s="8">
        <v>6.9444444444444448E-2</v>
      </c>
      <c r="H103" s="8">
        <v>0.10138888888888889</v>
      </c>
      <c r="I103" s="9">
        <f t="shared" si="56"/>
        <v>46</v>
      </c>
      <c r="J103" s="8">
        <v>0.26041666666666669</v>
      </c>
      <c r="K103" s="8">
        <v>0.28888888888888886</v>
      </c>
      <c r="L103" s="9">
        <f t="shared" si="57"/>
        <v>40.999999999999936</v>
      </c>
      <c r="M103" s="10">
        <f>($Q$19-Table1[[#This Row],[Arrival]])*1440</f>
        <v>74.000000000000057</v>
      </c>
    </row>
    <row r="104" spans="2:13" ht="15.75" thickBot="1" x14ac:dyDescent="0.3">
      <c r="B104" s="1">
        <v>45793</v>
      </c>
      <c r="C104" s="7" t="s">
        <v>38</v>
      </c>
      <c r="D104" s="7" t="s">
        <v>6</v>
      </c>
      <c r="E104" s="7" t="s">
        <v>33</v>
      </c>
      <c r="F104" s="7" t="s">
        <v>34</v>
      </c>
      <c r="G104" s="8">
        <v>6.9444444444444448E-2</v>
      </c>
      <c r="H104" s="8">
        <v>7.8472222222222221E-2</v>
      </c>
      <c r="I104" s="9">
        <f t="shared" si="56"/>
        <v>12.999999999999993</v>
      </c>
      <c r="J104" s="8">
        <v>0.26041666666666669</v>
      </c>
      <c r="K104" s="8">
        <v>0.27291666666666664</v>
      </c>
      <c r="L104" s="9">
        <f t="shared" si="57"/>
        <v>17.999999999999936</v>
      </c>
      <c r="M104" s="10">
        <f>($Q$19-Table1[[#This Row],[Arrival]])*1440</f>
        <v>97.000000000000057</v>
      </c>
    </row>
    <row r="105" spans="2:13" ht="15.75" thickBot="1" x14ac:dyDescent="0.3">
      <c r="B105" s="1">
        <v>45792</v>
      </c>
      <c r="C105" s="7" t="s">
        <v>39</v>
      </c>
      <c r="D105" s="7" t="s">
        <v>6</v>
      </c>
      <c r="E105" s="7" t="s">
        <v>33</v>
      </c>
      <c r="F105" s="7" t="s">
        <v>34</v>
      </c>
      <c r="G105" s="8">
        <v>6.9444444444444448E-2</v>
      </c>
      <c r="H105" s="8">
        <v>9.6527777777777782E-2</v>
      </c>
      <c r="I105" s="9">
        <f t="shared" si="56"/>
        <v>39</v>
      </c>
      <c r="J105" s="8">
        <v>0.26041666666666669</v>
      </c>
      <c r="K105" s="8">
        <v>0.27708333333333335</v>
      </c>
      <c r="L105" s="9">
        <f t="shared" si="57"/>
        <v>23.999999999999993</v>
      </c>
      <c r="M105" s="10">
        <f>($Q$19-Table1[[#This Row],[Arrival]])*1440</f>
        <v>91</v>
      </c>
    </row>
    <row r="106" spans="2:13" ht="15.75" thickBot="1" x14ac:dyDescent="0.3">
      <c r="B106" s="1">
        <v>45791</v>
      </c>
      <c r="C106" s="7" t="s">
        <v>40</v>
      </c>
      <c r="D106" s="7" t="s">
        <v>6</v>
      </c>
      <c r="E106" s="7" t="s">
        <v>33</v>
      </c>
      <c r="F106" s="7" t="s">
        <v>34</v>
      </c>
      <c r="G106" s="8">
        <v>6.9444444444444448E-2</v>
      </c>
      <c r="H106" s="8">
        <v>9.6527777777777782E-2</v>
      </c>
      <c r="I106" s="9">
        <f t="shared" si="56"/>
        <v>39</v>
      </c>
      <c r="J106" s="8">
        <v>0.26041666666666669</v>
      </c>
      <c r="K106" s="8">
        <v>0.27847222222222223</v>
      </c>
      <c r="L106" s="9">
        <f t="shared" si="57"/>
        <v>25.999999999999986</v>
      </c>
      <c r="M106" s="10">
        <f>($Q$19-Table1[[#This Row],[Arrival]])*1440</f>
        <v>89</v>
      </c>
    </row>
    <row r="107" spans="2:13" ht="15.75" thickBot="1" x14ac:dyDescent="0.3">
      <c r="B107" s="1">
        <v>45790</v>
      </c>
      <c r="C107" s="7" t="s">
        <v>32</v>
      </c>
      <c r="D107" s="7" t="s">
        <v>6</v>
      </c>
      <c r="E107" s="7" t="s">
        <v>33</v>
      </c>
      <c r="F107" s="7" t="s">
        <v>34</v>
      </c>
      <c r="G107" s="8">
        <v>6.9444444444444448E-2</v>
      </c>
      <c r="H107" s="8">
        <v>0.10208333333333333</v>
      </c>
      <c r="I107" s="9">
        <f t="shared" si="56"/>
        <v>46.999999999999993</v>
      </c>
      <c r="J107" s="8">
        <v>0.26041666666666669</v>
      </c>
      <c r="K107" s="8">
        <v>0.29097222222222224</v>
      </c>
      <c r="L107" s="9">
        <f t="shared" si="57"/>
        <v>44</v>
      </c>
      <c r="M107" s="10">
        <f>($Q$19-Table1[[#This Row],[Arrival]])*1440</f>
        <v>70.999999999999986</v>
      </c>
    </row>
    <row r="108" spans="2:13" ht="15.75" thickBot="1" x14ac:dyDescent="0.3">
      <c r="B108" s="1">
        <v>45789</v>
      </c>
      <c r="C108" s="7" t="str">
        <f t="shared" ref="C108" si="66">TEXT(B108, "dddd")</f>
        <v>Monday</v>
      </c>
      <c r="D108" s="7" t="s">
        <v>6</v>
      </c>
      <c r="E108" s="7" t="s">
        <v>33</v>
      </c>
      <c r="F108" s="7" t="s">
        <v>34</v>
      </c>
      <c r="G108" s="8">
        <v>6.9444444444444448E-2</v>
      </c>
      <c r="H108" s="8">
        <v>7.9166666666666663E-2</v>
      </c>
      <c r="I108" s="9">
        <f t="shared" si="56"/>
        <v>13.999999999999989</v>
      </c>
      <c r="J108" s="8">
        <v>0.26041666666666669</v>
      </c>
      <c r="K108" s="8">
        <v>0.26458333333333334</v>
      </c>
      <c r="L108" s="9">
        <f t="shared" si="57"/>
        <v>5.9999999999999787</v>
      </c>
      <c r="M108" s="10">
        <f>($Q$19-Table1[[#This Row],[Arrival]])*1440</f>
        <v>109.00000000000001</v>
      </c>
    </row>
    <row r="109" spans="2:13" ht="15.75" thickBot="1" x14ac:dyDescent="0.3">
      <c r="B109" s="1">
        <v>45788</v>
      </c>
      <c r="C109" s="7" t="s">
        <v>36</v>
      </c>
      <c r="D109" s="7" t="s">
        <v>6</v>
      </c>
      <c r="E109" s="7" t="s">
        <v>33</v>
      </c>
      <c r="F109" s="7" t="s">
        <v>34</v>
      </c>
      <c r="G109" s="8">
        <v>6.9444444444444448E-2</v>
      </c>
      <c r="H109" s="8">
        <v>8.611111111111111E-2</v>
      </c>
      <c r="I109" s="9">
        <f t="shared" si="56"/>
        <v>23.999999999999993</v>
      </c>
      <c r="J109" s="8">
        <v>0.26041666666666669</v>
      </c>
      <c r="K109" s="8">
        <v>0.2722222222222222</v>
      </c>
      <c r="L109" s="9">
        <f t="shared" si="57"/>
        <v>16.99999999999994</v>
      </c>
      <c r="M109" s="10">
        <f>($Q$19-Table1[[#This Row],[Arrival]])*1440</f>
        <v>98.000000000000057</v>
      </c>
    </row>
    <row r="110" spans="2:13" ht="15.75" thickBot="1" x14ac:dyDescent="0.3">
      <c r="B110" s="1">
        <v>45787</v>
      </c>
      <c r="C110" s="7" t="s">
        <v>37</v>
      </c>
      <c r="D110" s="7" t="s">
        <v>6</v>
      </c>
      <c r="E110" s="7" t="s">
        <v>33</v>
      </c>
      <c r="F110" s="7" t="s">
        <v>34</v>
      </c>
      <c r="G110" s="8">
        <v>6.9444444444444448E-2</v>
      </c>
      <c r="H110" s="8">
        <v>8.4027777777777785E-2</v>
      </c>
      <c r="I110" s="9">
        <f t="shared" si="56"/>
        <v>21.000000000000007</v>
      </c>
      <c r="J110" s="8">
        <v>0.26041666666666669</v>
      </c>
      <c r="K110" s="8">
        <v>0.27361111111111114</v>
      </c>
      <c r="L110" s="9">
        <f t="shared" si="57"/>
        <v>19.000000000000014</v>
      </c>
      <c r="M110" s="10">
        <f>($Q$19-Table1[[#This Row],[Arrival]])*1440</f>
        <v>95.999999999999972</v>
      </c>
    </row>
    <row r="111" spans="2:13" ht="15.75" thickBot="1" x14ac:dyDescent="0.3">
      <c r="B111" s="1">
        <v>45786</v>
      </c>
      <c r="C111" s="7" t="s">
        <v>38</v>
      </c>
      <c r="D111" s="7" t="s">
        <v>6</v>
      </c>
      <c r="E111" s="7" t="s">
        <v>33</v>
      </c>
      <c r="F111" s="7" t="s">
        <v>34</v>
      </c>
      <c r="G111" s="8">
        <v>6.9444444444444448E-2</v>
      </c>
      <c r="H111" s="8">
        <v>7.9166666666666663E-2</v>
      </c>
      <c r="I111" s="9">
        <f t="shared" si="56"/>
        <v>13.999999999999989</v>
      </c>
      <c r="J111" s="8">
        <v>0.26041666666666669</v>
      </c>
      <c r="K111" s="8">
        <v>0.27708333333333335</v>
      </c>
      <c r="L111" s="9">
        <f t="shared" si="57"/>
        <v>23.999999999999993</v>
      </c>
      <c r="M111" s="10">
        <f>($Q$19-Table1[[#This Row],[Arrival]])*1440</f>
        <v>91</v>
      </c>
    </row>
    <row r="112" spans="2:13" ht="15.75" thickBot="1" x14ac:dyDescent="0.3">
      <c r="B112" s="1">
        <v>45785</v>
      </c>
      <c r="C112" s="7" t="s">
        <v>39</v>
      </c>
      <c r="D112" s="7" t="s">
        <v>6</v>
      </c>
      <c r="E112" s="7" t="s">
        <v>33</v>
      </c>
      <c r="F112" s="7" t="s">
        <v>34</v>
      </c>
      <c r="G112" s="8">
        <v>6.9444444444444448E-2</v>
      </c>
      <c r="H112" s="8">
        <v>8.2638888888888887E-2</v>
      </c>
      <c r="I112" s="9">
        <f t="shared" ref="I112:I172" si="67">IF(H112-G112&lt;0, -(G112-H112), H112-G112)*1440</f>
        <v>18.999999999999993</v>
      </c>
      <c r="J112" s="8">
        <v>0.26041666666666669</v>
      </c>
      <c r="K112" s="8">
        <v>0.28749999999999998</v>
      </c>
      <c r="L112" s="9">
        <f t="shared" ref="L112:L172" si="68">IF(K112-J112&lt;0, -(J112-K112), K112-J112)*1440</f>
        <v>38.999999999999943</v>
      </c>
      <c r="M112" s="10">
        <f>($Q$19-Table1[[#This Row],[Arrival]])*1440</f>
        <v>76.000000000000057</v>
      </c>
    </row>
    <row r="113" spans="2:13" ht="15.75" thickBot="1" x14ac:dyDescent="0.3">
      <c r="B113" s="1">
        <v>45784</v>
      </c>
      <c r="C113" s="7" t="s">
        <v>40</v>
      </c>
      <c r="D113" s="7" t="s">
        <v>6</v>
      </c>
      <c r="E113" s="7" t="s">
        <v>33</v>
      </c>
      <c r="F113" s="7" t="s">
        <v>34</v>
      </c>
      <c r="G113" s="8">
        <v>6.9444444444444448E-2</v>
      </c>
      <c r="H113" s="8">
        <v>0.13194444444444445</v>
      </c>
      <c r="I113" s="9">
        <f t="shared" si="67"/>
        <v>90</v>
      </c>
      <c r="J113" s="8">
        <v>0.26041666666666669</v>
      </c>
      <c r="K113" s="8">
        <v>0.32569444444444445</v>
      </c>
      <c r="L113" s="9">
        <f t="shared" si="68"/>
        <v>93.999999999999986</v>
      </c>
      <c r="M113" s="10">
        <f>($Q$19-Table1[[#This Row],[Arrival]])*1440</f>
        <v>21.000000000000007</v>
      </c>
    </row>
    <row r="114" spans="2:13" ht="15.75" thickBot="1" x14ac:dyDescent="0.3">
      <c r="B114" s="1">
        <v>45783</v>
      </c>
      <c r="C114" s="7" t="s">
        <v>32</v>
      </c>
      <c r="D114" s="7" t="s">
        <v>6</v>
      </c>
      <c r="E114" s="7" t="s">
        <v>33</v>
      </c>
      <c r="F114" s="7" t="s">
        <v>34</v>
      </c>
      <c r="G114" s="8">
        <v>6.9444444444444448E-2</v>
      </c>
      <c r="H114" s="8">
        <v>8.9583333333333334E-2</v>
      </c>
      <c r="I114" s="9">
        <f t="shared" si="67"/>
        <v>28.999999999999996</v>
      </c>
      <c r="J114" s="8">
        <v>0.26041666666666669</v>
      </c>
      <c r="K114" s="8">
        <v>0.27708333333333335</v>
      </c>
      <c r="L114" s="9">
        <f t="shared" si="68"/>
        <v>23.999999999999993</v>
      </c>
      <c r="M114" s="10">
        <f>($Q$19-Table1[[#This Row],[Arrival]])*1440</f>
        <v>91</v>
      </c>
    </row>
    <row r="115" spans="2:13" ht="15.75" thickBot="1" x14ac:dyDescent="0.3">
      <c r="B115" s="1">
        <v>45782</v>
      </c>
      <c r="C115" s="7" t="str">
        <f t="shared" ref="C115" si="69">TEXT(B115, "dddd")</f>
        <v>Monday</v>
      </c>
      <c r="D115" s="7" t="s">
        <v>6</v>
      </c>
      <c r="E115" s="7" t="s">
        <v>33</v>
      </c>
      <c r="F115" s="7" t="s">
        <v>34</v>
      </c>
      <c r="G115" s="8">
        <v>6.9444444444444448E-2</v>
      </c>
      <c r="H115" s="8">
        <v>9.6527777777777782E-2</v>
      </c>
      <c r="I115" s="9">
        <f t="shared" si="67"/>
        <v>39</v>
      </c>
      <c r="J115" s="8">
        <v>0.26041666666666669</v>
      </c>
      <c r="K115" s="8">
        <v>0.27986111111111112</v>
      </c>
      <c r="L115" s="9">
        <f t="shared" si="68"/>
        <v>27.999999999999979</v>
      </c>
      <c r="M115" s="10">
        <f>($Q$19-Table1[[#This Row],[Arrival]])*1440</f>
        <v>87.000000000000014</v>
      </c>
    </row>
    <row r="116" spans="2:13" ht="15.75" thickBot="1" x14ac:dyDescent="0.3">
      <c r="B116" s="1">
        <v>45781</v>
      </c>
      <c r="C116" s="7" t="s">
        <v>36</v>
      </c>
      <c r="D116" s="7" t="s">
        <v>6</v>
      </c>
      <c r="E116" s="7" t="s">
        <v>33</v>
      </c>
      <c r="F116" s="7" t="s">
        <v>34</v>
      </c>
      <c r="G116" s="8">
        <v>6.9444444444444448E-2</v>
      </c>
      <c r="H116" s="8">
        <v>0.10277777777777777</v>
      </c>
      <c r="I116" s="9">
        <f t="shared" si="67"/>
        <v>47.999999999999986</v>
      </c>
      <c r="J116" s="8">
        <v>0.26041666666666669</v>
      </c>
      <c r="K116" s="8">
        <v>0.28819444444444442</v>
      </c>
      <c r="L116" s="9">
        <f t="shared" si="68"/>
        <v>39.999999999999936</v>
      </c>
      <c r="M116" s="10">
        <f>($Q$19-Table1[[#This Row],[Arrival]])*1440</f>
        <v>75.000000000000057</v>
      </c>
    </row>
    <row r="117" spans="2:13" ht="15.75" thickBot="1" x14ac:dyDescent="0.3">
      <c r="B117" s="1">
        <v>45780</v>
      </c>
      <c r="C117" s="7" t="s">
        <v>37</v>
      </c>
      <c r="D117" s="7" t="s">
        <v>6</v>
      </c>
      <c r="E117" s="7" t="s">
        <v>33</v>
      </c>
      <c r="F117" s="7" t="s">
        <v>34</v>
      </c>
      <c r="G117" s="8">
        <v>6.9444444444444448E-2</v>
      </c>
      <c r="H117" s="8">
        <v>0.13958333333333334</v>
      </c>
      <c r="I117" s="9">
        <f t="shared" si="67"/>
        <v>101</v>
      </c>
      <c r="J117" s="8">
        <v>0.26041666666666669</v>
      </c>
      <c r="K117" s="8">
        <v>0.32847222222222222</v>
      </c>
      <c r="L117" s="9">
        <f t="shared" si="68"/>
        <v>97.999999999999972</v>
      </c>
      <c r="M117" s="10">
        <f>($Q$19-Table1[[#This Row],[Arrival]])*1440</f>
        <v>17.000000000000021</v>
      </c>
    </row>
    <row r="118" spans="2:13" ht="15.75" thickBot="1" x14ac:dyDescent="0.3">
      <c r="B118" s="1">
        <v>45779</v>
      </c>
      <c r="C118" s="7" t="s">
        <v>38</v>
      </c>
      <c r="D118" s="7" t="s">
        <v>6</v>
      </c>
      <c r="E118" s="7" t="s">
        <v>33</v>
      </c>
      <c r="F118" s="7" t="s">
        <v>34</v>
      </c>
      <c r="G118" s="8">
        <v>6.9444444444444448E-2</v>
      </c>
      <c r="H118" s="8">
        <v>9.5138888888888884E-2</v>
      </c>
      <c r="I118" s="9">
        <f t="shared" si="67"/>
        <v>36.999999999999986</v>
      </c>
      <c r="J118" s="8">
        <v>0.26041666666666669</v>
      </c>
      <c r="K118" s="8">
        <v>0.28194444444444444</v>
      </c>
      <c r="L118" s="9">
        <f t="shared" si="68"/>
        <v>30.999999999999972</v>
      </c>
      <c r="M118" s="10">
        <f>($Q$19-Table1[[#This Row],[Arrival]])*1440</f>
        <v>84.000000000000028</v>
      </c>
    </row>
    <row r="119" spans="2:13" ht="15.75" thickBot="1" x14ac:dyDescent="0.3">
      <c r="B119" s="1">
        <v>45778</v>
      </c>
      <c r="C119" s="7" t="s">
        <v>39</v>
      </c>
      <c r="D119" s="7" t="s">
        <v>6</v>
      </c>
      <c r="E119" s="7" t="s">
        <v>33</v>
      </c>
      <c r="F119" s="7" t="s">
        <v>34</v>
      </c>
      <c r="G119" s="8">
        <v>6.9444444444444448E-2</v>
      </c>
      <c r="H119" s="8">
        <v>9.166666666666666E-2</v>
      </c>
      <c r="I119" s="9">
        <f t="shared" si="67"/>
        <v>31.999999999999986</v>
      </c>
      <c r="J119" s="8">
        <v>0.26041666666666669</v>
      </c>
      <c r="K119" s="8">
        <v>0.28055555555555556</v>
      </c>
      <c r="L119" s="9">
        <f t="shared" si="68"/>
        <v>28.999999999999979</v>
      </c>
      <c r="M119" s="10">
        <f>($Q$19-Table1[[#This Row],[Arrival]])*1440</f>
        <v>86.000000000000014</v>
      </c>
    </row>
    <row r="120" spans="2:13" ht="15.75" thickBot="1" x14ac:dyDescent="0.3">
      <c r="B120" s="1">
        <v>45777</v>
      </c>
      <c r="C120" s="7" t="s">
        <v>40</v>
      </c>
      <c r="D120" s="7" t="s">
        <v>6</v>
      </c>
      <c r="E120" s="7" t="s">
        <v>33</v>
      </c>
      <c r="F120" s="7" t="s">
        <v>34</v>
      </c>
      <c r="G120" s="8">
        <v>6.9444444444444448E-2</v>
      </c>
      <c r="H120" s="8">
        <v>7.3611111111111113E-2</v>
      </c>
      <c r="I120" s="9">
        <f t="shared" si="67"/>
        <v>5.9999999999999982</v>
      </c>
      <c r="J120" s="8">
        <v>0.26041666666666669</v>
      </c>
      <c r="K120" s="8">
        <v>0.25972222222222224</v>
      </c>
      <c r="L120" s="9">
        <f t="shared" si="68"/>
        <v>-0.99999999999999645</v>
      </c>
      <c r="M120" s="10">
        <f>($Q$19-Table1[[#This Row],[Arrival]])*1440</f>
        <v>115.99999999999999</v>
      </c>
    </row>
    <row r="121" spans="2:13" ht="15.75" thickBot="1" x14ac:dyDescent="0.3">
      <c r="B121" s="1">
        <v>45776</v>
      </c>
      <c r="C121" s="7" t="s">
        <v>32</v>
      </c>
      <c r="D121" s="7" t="s">
        <v>6</v>
      </c>
      <c r="E121" s="7" t="s">
        <v>33</v>
      </c>
      <c r="F121" s="7" t="s">
        <v>34</v>
      </c>
      <c r="G121" s="8">
        <v>6.9444444444444448E-2</v>
      </c>
      <c r="H121" s="8">
        <v>8.3333333333333329E-2</v>
      </c>
      <c r="I121" s="9">
        <f t="shared" si="67"/>
        <v>19.999999999999989</v>
      </c>
      <c r="J121" s="8">
        <v>0.26041666666666669</v>
      </c>
      <c r="K121" s="8">
        <v>0.2638888888888889</v>
      </c>
      <c r="L121" s="9">
        <f t="shared" si="68"/>
        <v>4.9999999999999822</v>
      </c>
      <c r="M121" s="10">
        <f>($Q$19-Table1[[#This Row],[Arrival]])*1440</f>
        <v>110.00000000000001</v>
      </c>
    </row>
    <row r="122" spans="2:13" ht="15.75" thickBot="1" x14ac:dyDescent="0.3">
      <c r="B122" s="1">
        <v>45775</v>
      </c>
      <c r="C122" s="7" t="str">
        <f t="shared" ref="C122" si="70">TEXT(B122, "dddd")</f>
        <v>Monday</v>
      </c>
      <c r="D122" s="7" t="s">
        <v>6</v>
      </c>
      <c r="E122" s="7" t="s">
        <v>33</v>
      </c>
      <c r="F122" s="7" t="s">
        <v>34</v>
      </c>
      <c r="G122" s="8">
        <v>6.9444444444444448E-2</v>
      </c>
      <c r="H122" s="8">
        <v>7.0833333333333331E-2</v>
      </c>
      <c r="I122" s="9">
        <f t="shared" si="67"/>
        <v>1.9999999999999929</v>
      </c>
      <c r="J122" s="8">
        <v>0.26041666666666669</v>
      </c>
      <c r="K122" s="8">
        <v>0.25486111111111109</v>
      </c>
      <c r="L122" s="9">
        <f t="shared" si="68"/>
        <v>-8.0000000000000515</v>
      </c>
      <c r="M122" s="10">
        <f>($Q$19-Table1[[#This Row],[Arrival]])*1440</f>
        <v>123.00000000000004</v>
      </c>
    </row>
    <row r="123" spans="2:13" ht="15.75" thickBot="1" x14ac:dyDescent="0.3">
      <c r="B123" s="1">
        <v>45774</v>
      </c>
      <c r="C123" s="7" t="s">
        <v>36</v>
      </c>
      <c r="D123" s="7" t="s">
        <v>6</v>
      </c>
      <c r="E123" s="7" t="s">
        <v>33</v>
      </c>
      <c r="F123" s="7" t="s">
        <v>34</v>
      </c>
      <c r="G123" s="8">
        <v>6.9444444444444448E-2</v>
      </c>
      <c r="H123" s="8">
        <v>7.4305555555555555E-2</v>
      </c>
      <c r="I123" s="9">
        <f t="shared" si="67"/>
        <v>6.9999999999999947</v>
      </c>
      <c r="J123" s="8">
        <v>0.26041666666666669</v>
      </c>
      <c r="K123" s="8">
        <v>0.26041666666666669</v>
      </c>
      <c r="L123" s="9">
        <f t="shared" si="68"/>
        <v>0</v>
      </c>
      <c r="M123" s="10">
        <f>($Q$19-Table1[[#This Row],[Arrival]])*1440</f>
        <v>114.99999999999999</v>
      </c>
    </row>
    <row r="124" spans="2:13" ht="15.75" thickBot="1" x14ac:dyDescent="0.3">
      <c r="B124" s="1">
        <v>45773</v>
      </c>
      <c r="C124" s="7" t="s">
        <v>37</v>
      </c>
      <c r="D124" s="7" t="s">
        <v>6</v>
      </c>
      <c r="E124" s="7" t="s">
        <v>33</v>
      </c>
      <c r="F124" s="7" t="s">
        <v>34</v>
      </c>
      <c r="G124" s="8">
        <v>6.9444444444444448E-2</v>
      </c>
      <c r="H124" s="8">
        <v>7.4305555555555555E-2</v>
      </c>
      <c r="I124" s="9">
        <f t="shared" si="67"/>
        <v>6.9999999999999947</v>
      </c>
      <c r="J124" s="8">
        <v>0.26041666666666669</v>
      </c>
      <c r="K124" s="8">
        <v>0.2638888888888889</v>
      </c>
      <c r="L124" s="9">
        <f t="shared" si="68"/>
        <v>4.9999999999999822</v>
      </c>
      <c r="M124" s="10">
        <f>($Q$19-Table1[[#This Row],[Arrival]])*1440</f>
        <v>110.00000000000001</v>
      </c>
    </row>
    <row r="125" spans="2:13" ht="15.75" thickBot="1" x14ac:dyDescent="0.3">
      <c r="B125" s="1">
        <v>45772</v>
      </c>
      <c r="C125" s="7" t="s">
        <v>38</v>
      </c>
      <c r="D125" s="7" t="s">
        <v>6</v>
      </c>
      <c r="E125" s="7" t="s">
        <v>33</v>
      </c>
      <c r="F125" s="7" t="s">
        <v>34</v>
      </c>
      <c r="G125" s="8">
        <v>6.9444444444444448E-2</v>
      </c>
      <c r="H125" s="8">
        <v>6.7361111111111108E-2</v>
      </c>
      <c r="I125" s="9">
        <f t="shared" si="67"/>
        <v>-3.0000000000000093</v>
      </c>
      <c r="J125" s="8">
        <v>0.26041666666666669</v>
      </c>
      <c r="K125" s="8">
        <v>0.25416666666666665</v>
      </c>
      <c r="L125" s="9">
        <f t="shared" si="68"/>
        <v>-9.000000000000048</v>
      </c>
      <c r="M125" s="10">
        <f>($Q$19-Table1[[#This Row],[Arrival]])*1440</f>
        <v>124.00000000000004</v>
      </c>
    </row>
    <row r="126" spans="2:13" ht="15.75" thickBot="1" x14ac:dyDescent="0.3">
      <c r="B126" s="1">
        <v>45771</v>
      </c>
      <c r="C126" s="7" t="s">
        <v>39</v>
      </c>
      <c r="D126" s="7" t="s">
        <v>6</v>
      </c>
      <c r="E126" s="7" t="s">
        <v>33</v>
      </c>
      <c r="F126" s="7" t="s">
        <v>34</v>
      </c>
      <c r="G126" s="8">
        <v>6.9444444444444448E-2</v>
      </c>
      <c r="H126" s="8">
        <v>6.6666666666666666E-2</v>
      </c>
      <c r="I126" s="9">
        <f t="shared" si="67"/>
        <v>-4.0000000000000053</v>
      </c>
      <c r="J126" s="8">
        <v>0.26041666666666669</v>
      </c>
      <c r="K126" s="8">
        <v>0.25694444444444442</v>
      </c>
      <c r="L126" s="9">
        <f t="shared" si="68"/>
        <v>-5.0000000000000622</v>
      </c>
      <c r="M126" s="10">
        <f>($Q$19-Table1[[#This Row],[Arrival]])*1440</f>
        <v>120.00000000000006</v>
      </c>
    </row>
    <row r="127" spans="2:13" ht="15.75" thickBot="1" x14ac:dyDescent="0.3">
      <c r="B127" s="1">
        <v>45770</v>
      </c>
      <c r="C127" s="7" t="s">
        <v>40</v>
      </c>
      <c r="D127" s="7" t="s">
        <v>6</v>
      </c>
      <c r="E127" s="7" t="s">
        <v>33</v>
      </c>
      <c r="F127" s="7" t="s">
        <v>34</v>
      </c>
      <c r="G127" s="8">
        <v>6.9444444444444448E-2</v>
      </c>
      <c r="H127" s="8">
        <v>6.458333333333334E-2</v>
      </c>
      <c r="I127" s="9">
        <f t="shared" si="67"/>
        <v>-6.9999999999999947</v>
      </c>
      <c r="J127" s="8">
        <v>0.26041666666666669</v>
      </c>
      <c r="K127" s="8">
        <v>0.25555555555555554</v>
      </c>
      <c r="L127" s="9">
        <f t="shared" si="68"/>
        <v>-7.0000000000000551</v>
      </c>
      <c r="M127" s="10">
        <f>($Q$19-Table1[[#This Row],[Arrival]])*1440</f>
        <v>122.00000000000004</v>
      </c>
    </row>
    <row r="128" spans="2:13" ht="15.75" thickBot="1" x14ac:dyDescent="0.3">
      <c r="B128" s="1">
        <v>45769</v>
      </c>
      <c r="C128" s="7" t="s">
        <v>32</v>
      </c>
      <c r="D128" s="7" t="s">
        <v>6</v>
      </c>
      <c r="E128" s="7" t="s">
        <v>33</v>
      </c>
      <c r="F128" s="7" t="s">
        <v>34</v>
      </c>
      <c r="G128" s="8">
        <v>6.9444444444444448E-2</v>
      </c>
      <c r="H128" s="8">
        <v>6.3194444444444442E-2</v>
      </c>
      <c r="I128" s="9">
        <f t="shared" si="67"/>
        <v>-9.0000000000000071</v>
      </c>
      <c r="J128" s="8">
        <v>0.26041666666666669</v>
      </c>
      <c r="K128" s="8">
        <v>0.25277777777777777</v>
      </c>
      <c r="L128" s="9">
        <f t="shared" si="68"/>
        <v>-11.000000000000041</v>
      </c>
      <c r="M128" s="10">
        <f>($Q$19-Table1[[#This Row],[Arrival]])*1440</f>
        <v>126.00000000000003</v>
      </c>
    </row>
    <row r="129" spans="2:13" ht="15.75" thickBot="1" x14ac:dyDescent="0.3">
      <c r="B129" s="1">
        <v>45768</v>
      </c>
      <c r="C129" s="7" t="str">
        <f t="shared" ref="C129" si="71">TEXT(B129, "dddd")</f>
        <v>Monday</v>
      </c>
      <c r="D129" s="7" t="s">
        <v>6</v>
      </c>
      <c r="E129" s="7" t="s">
        <v>33</v>
      </c>
      <c r="F129" s="7" t="s">
        <v>34</v>
      </c>
      <c r="G129" s="8">
        <v>6.9444444444444448E-2</v>
      </c>
      <c r="H129" s="8">
        <v>7.0833333333333331E-2</v>
      </c>
      <c r="I129" s="9">
        <f t="shared" si="67"/>
        <v>1.9999999999999929</v>
      </c>
      <c r="J129" s="8">
        <v>0.26041666666666669</v>
      </c>
      <c r="K129" s="8">
        <v>0.25972222222222224</v>
      </c>
      <c r="L129" s="9">
        <f t="shared" si="68"/>
        <v>-0.99999999999999645</v>
      </c>
      <c r="M129" s="10">
        <f>($Q$19-Table1[[#This Row],[Arrival]])*1440</f>
        <v>115.99999999999999</v>
      </c>
    </row>
    <row r="130" spans="2:13" ht="15.75" thickBot="1" x14ac:dyDescent="0.3">
      <c r="B130" s="1">
        <v>45767</v>
      </c>
      <c r="C130" s="7" t="s">
        <v>36</v>
      </c>
      <c r="D130" s="7" t="s">
        <v>6</v>
      </c>
      <c r="E130" s="7" t="s">
        <v>33</v>
      </c>
      <c r="F130" s="7" t="s">
        <v>34</v>
      </c>
      <c r="G130" s="8">
        <v>6.9444444444444448E-2</v>
      </c>
      <c r="H130" s="8">
        <v>8.3333333333333329E-2</v>
      </c>
      <c r="I130" s="9">
        <f t="shared" si="67"/>
        <v>19.999999999999989</v>
      </c>
      <c r="J130" s="8">
        <v>0.26041666666666669</v>
      </c>
      <c r="K130" s="8">
        <v>0.28194444444444444</v>
      </c>
      <c r="L130" s="9">
        <f t="shared" si="68"/>
        <v>30.999999999999972</v>
      </c>
      <c r="M130" s="10">
        <f>($Q$19-Table1[[#This Row],[Arrival]])*1440</f>
        <v>84.000000000000028</v>
      </c>
    </row>
    <row r="131" spans="2:13" ht="15.75" thickBot="1" x14ac:dyDescent="0.3">
      <c r="B131" s="1">
        <v>45766</v>
      </c>
      <c r="C131" s="7" t="s">
        <v>37</v>
      </c>
      <c r="D131" s="7" t="s">
        <v>6</v>
      </c>
      <c r="E131" s="7" t="s">
        <v>33</v>
      </c>
      <c r="F131" s="7" t="s">
        <v>34</v>
      </c>
      <c r="G131" s="8">
        <v>6.9444444444444448E-2</v>
      </c>
      <c r="H131" s="8">
        <v>7.9861111111111105E-2</v>
      </c>
      <c r="I131" s="9">
        <f t="shared" si="67"/>
        <v>14.999999999999986</v>
      </c>
      <c r="J131" s="8">
        <v>0.26041666666666669</v>
      </c>
      <c r="K131" s="8">
        <v>0.2722222222222222</v>
      </c>
      <c r="L131" s="9">
        <f t="shared" si="68"/>
        <v>16.99999999999994</v>
      </c>
      <c r="M131" s="10">
        <f>($Q$19-Table1[[#This Row],[Arrival]])*1440</f>
        <v>98.000000000000057</v>
      </c>
    </row>
    <row r="132" spans="2:13" ht="15.75" thickBot="1" x14ac:dyDescent="0.3">
      <c r="B132" s="1">
        <v>45765</v>
      </c>
      <c r="C132" s="7" t="s">
        <v>38</v>
      </c>
      <c r="D132" s="7" t="s">
        <v>6</v>
      </c>
      <c r="E132" s="7" t="s">
        <v>33</v>
      </c>
      <c r="F132" s="7" t="s">
        <v>34</v>
      </c>
      <c r="G132" s="8">
        <v>6.9444444444444448E-2</v>
      </c>
      <c r="H132" s="8">
        <v>7.1527777777777773E-2</v>
      </c>
      <c r="I132" s="9">
        <f t="shared" si="67"/>
        <v>2.9999999999999893</v>
      </c>
      <c r="J132" s="8">
        <v>0.26041666666666669</v>
      </c>
      <c r="K132" s="8">
        <v>0.25347222222222221</v>
      </c>
      <c r="L132" s="9">
        <f t="shared" si="68"/>
        <v>-10.000000000000044</v>
      </c>
      <c r="M132" s="10">
        <f>($Q$19-Table1[[#This Row],[Arrival]])*1440</f>
        <v>125.00000000000003</v>
      </c>
    </row>
    <row r="133" spans="2:13" ht="15.75" thickBot="1" x14ac:dyDescent="0.3">
      <c r="B133" s="1">
        <v>45764</v>
      </c>
      <c r="C133" s="7" t="s">
        <v>39</v>
      </c>
      <c r="D133" s="7" t="s">
        <v>6</v>
      </c>
      <c r="E133" s="7" t="s">
        <v>33</v>
      </c>
      <c r="F133" s="7" t="s">
        <v>34</v>
      </c>
      <c r="G133" s="8">
        <v>6.9444444444444448E-2</v>
      </c>
      <c r="H133" s="8">
        <v>8.8888888888888892E-2</v>
      </c>
      <c r="I133" s="9">
        <f t="shared" si="67"/>
        <v>28</v>
      </c>
      <c r="J133" s="8">
        <v>0.26041666666666669</v>
      </c>
      <c r="K133" s="8">
        <v>0.27569444444444446</v>
      </c>
      <c r="L133" s="9">
        <f t="shared" si="68"/>
        <v>22</v>
      </c>
      <c r="M133" s="10">
        <f>($Q$19-Table1[[#This Row],[Arrival]])*1440</f>
        <v>92.999999999999986</v>
      </c>
    </row>
    <row r="134" spans="2:13" ht="15.75" thickBot="1" x14ac:dyDescent="0.3">
      <c r="B134" s="1">
        <v>45763</v>
      </c>
      <c r="C134" s="7" t="s">
        <v>40</v>
      </c>
      <c r="D134" s="7" t="s">
        <v>6</v>
      </c>
      <c r="E134" s="7" t="s">
        <v>33</v>
      </c>
      <c r="F134" s="7" t="s">
        <v>34</v>
      </c>
      <c r="G134" s="8">
        <v>6.9444444444444448E-2</v>
      </c>
      <c r="H134" s="8">
        <v>7.013888888888889E-2</v>
      </c>
      <c r="I134" s="9">
        <f t="shared" si="67"/>
        <v>0.99999999999999645</v>
      </c>
      <c r="J134" s="8">
        <v>0.26041666666666669</v>
      </c>
      <c r="K134" s="8">
        <v>0.25624999999999998</v>
      </c>
      <c r="L134" s="9">
        <f t="shared" si="68"/>
        <v>-6.0000000000000586</v>
      </c>
      <c r="M134" s="10">
        <f>($Q$19-Table1[[#This Row],[Arrival]])*1440</f>
        <v>121.00000000000006</v>
      </c>
    </row>
    <row r="135" spans="2:13" ht="15.75" thickBot="1" x14ac:dyDescent="0.3">
      <c r="B135" s="1">
        <v>45762</v>
      </c>
      <c r="C135" s="7" t="s">
        <v>32</v>
      </c>
      <c r="D135" s="7" t="s">
        <v>6</v>
      </c>
      <c r="E135" s="7" t="s">
        <v>33</v>
      </c>
      <c r="F135" s="7" t="s">
        <v>34</v>
      </c>
      <c r="G135" s="8">
        <v>6.9444444444444448E-2</v>
      </c>
      <c r="H135" s="8">
        <v>7.3611111111111113E-2</v>
      </c>
      <c r="I135" s="9">
        <f t="shared" si="67"/>
        <v>5.9999999999999982</v>
      </c>
      <c r="J135" s="8">
        <v>0.26041666666666669</v>
      </c>
      <c r="K135" s="8">
        <v>0.26041666666666669</v>
      </c>
      <c r="L135" s="9">
        <f t="shared" si="68"/>
        <v>0</v>
      </c>
      <c r="M135" s="10">
        <f>($Q$19-Table1[[#This Row],[Arrival]])*1440</f>
        <v>114.99999999999999</v>
      </c>
    </row>
    <row r="136" spans="2:13" ht="15.75" thickBot="1" x14ac:dyDescent="0.3">
      <c r="B136" s="1">
        <v>45761</v>
      </c>
      <c r="C136" s="7" t="str">
        <f t="shared" ref="C136" si="72">TEXT(B136, "dddd")</f>
        <v>Monday</v>
      </c>
      <c r="D136" s="7" t="s">
        <v>6</v>
      </c>
      <c r="E136" s="7" t="s">
        <v>33</v>
      </c>
      <c r="F136" s="7" t="s">
        <v>34</v>
      </c>
      <c r="G136" s="8">
        <v>6.9444444444444448E-2</v>
      </c>
      <c r="H136" s="8">
        <v>8.3333333333333329E-2</v>
      </c>
      <c r="I136" s="9">
        <f t="shared" si="67"/>
        <v>19.999999999999989</v>
      </c>
      <c r="J136" s="8">
        <v>0.26041666666666669</v>
      </c>
      <c r="K136" s="8">
        <v>0.26874999999999999</v>
      </c>
      <c r="L136" s="9">
        <f t="shared" si="68"/>
        <v>11.999999999999957</v>
      </c>
      <c r="M136" s="10">
        <f>($Q$19-Table1[[#This Row],[Arrival]])*1440</f>
        <v>103.00000000000003</v>
      </c>
    </row>
    <row r="137" spans="2:13" ht="15.75" thickBot="1" x14ac:dyDescent="0.3">
      <c r="B137" s="1">
        <v>45760</v>
      </c>
      <c r="C137" s="7" t="s">
        <v>36</v>
      </c>
      <c r="D137" s="7" t="s">
        <v>6</v>
      </c>
      <c r="E137" s="7" t="s">
        <v>33</v>
      </c>
      <c r="F137" s="7" t="s">
        <v>34</v>
      </c>
      <c r="G137" s="8">
        <v>6.9444444444444448E-2</v>
      </c>
      <c r="H137" s="8">
        <v>7.2222222222222215E-2</v>
      </c>
      <c r="I137" s="9">
        <f t="shared" si="67"/>
        <v>3.9999999999999858</v>
      </c>
      <c r="J137" s="8">
        <v>0.26041666666666669</v>
      </c>
      <c r="K137" s="8">
        <v>0.25486111111111109</v>
      </c>
      <c r="L137" s="9">
        <f t="shared" si="68"/>
        <v>-8.0000000000000515</v>
      </c>
      <c r="M137" s="10">
        <f>($Q$19-Table1[[#This Row],[Arrival]])*1440</f>
        <v>123.00000000000004</v>
      </c>
    </row>
    <row r="138" spans="2:13" ht="15.75" thickBot="1" x14ac:dyDescent="0.3">
      <c r="B138" s="1">
        <v>45759</v>
      </c>
      <c r="C138" s="7" t="s">
        <v>37</v>
      </c>
      <c r="D138" s="7" t="s">
        <v>6</v>
      </c>
      <c r="E138" s="7" t="s">
        <v>33</v>
      </c>
      <c r="F138" s="7" t="s">
        <v>34</v>
      </c>
      <c r="G138" s="8">
        <v>6.9444444444444448E-2</v>
      </c>
      <c r="H138" s="8">
        <v>6.458333333333334E-2</v>
      </c>
      <c r="I138" s="9">
        <f t="shared" si="67"/>
        <v>-6.9999999999999947</v>
      </c>
      <c r="J138" s="8">
        <v>0.26041666666666669</v>
      </c>
      <c r="K138" s="8">
        <v>0.26041666666666669</v>
      </c>
      <c r="L138" s="9">
        <f t="shared" si="68"/>
        <v>0</v>
      </c>
      <c r="M138" s="10">
        <f>($Q$19-Table1[[#This Row],[Arrival]])*1440</f>
        <v>114.99999999999999</v>
      </c>
    </row>
    <row r="139" spans="2:13" ht="15.75" thickBot="1" x14ac:dyDescent="0.3">
      <c r="B139" s="1">
        <v>45758</v>
      </c>
      <c r="C139" s="7" t="s">
        <v>38</v>
      </c>
      <c r="D139" s="7" t="s">
        <v>6</v>
      </c>
      <c r="E139" s="7" t="s">
        <v>33</v>
      </c>
      <c r="F139" s="7" t="s">
        <v>34</v>
      </c>
      <c r="G139" s="8">
        <v>6.9444444444444448E-2</v>
      </c>
      <c r="H139" s="8">
        <v>8.1944444444444445E-2</v>
      </c>
      <c r="I139" s="9">
        <f t="shared" si="67"/>
        <v>17.999999999999996</v>
      </c>
      <c r="J139" s="8">
        <v>0.26041666666666669</v>
      </c>
      <c r="K139" s="8">
        <v>0.27013888888888887</v>
      </c>
      <c r="L139" s="9">
        <f t="shared" si="68"/>
        <v>13.99999999999995</v>
      </c>
      <c r="M139" s="10">
        <f>($Q$19-Table1[[#This Row],[Arrival]])*1440</f>
        <v>101.00000000000004</v>
      </c>
    </row>
    <row r="140" spans="2:13" ht="15.75" thickBot="1" x14ac:dyDescent="0.3">
      <c r="B140" s="1">
        <v>45757</v>
      </c>
      <c r="C140" s="7" t="s">
        <v>39</v>
      </c>
      <c r="D140" s="7" t="s">
        <v>6</v>
      </c>
      <c r="E140" s="7" t="s">
        <v>33</v>
      </c>
      <c r="F140" s="7" t="s">
        <v>34</v>
      </c>
      <c r="G140" s="8">
        <v>6.9444444444444448E-2</v>
      </c>
      <c r="H140" s="8">
        <v>7.9166666666666663E-2</v>
      </c>
      <c r="I140" s="9">
        <f t="shared" si="67"/>
        <v>13.999999999999989</v>
      </c>
      <c r="J140" s="8">
        <v>0.26041666666666669</v>
      </c>
      <c r="K140" s="8">
        <v>0.27430555555555558</v>
      </c>
      <c r="L140" s="9">
        <f t="shared" si="68"/>
        <v>20.000000000000007</v>
      </c>
      <c r="M140" s="10">
        <f>($Q$19-Table1[[#This Row],[Arrival]])*1440</f>
        <v>94.999999999999986</v>
      </c>
    </row>
    <row r="141" spans="2:13" ht="15.75" thickBot="1" x14ac:dyDescent="0.3">
      <c r="B141" s="1">
        <v>45756</v>
      </c>
      <c r="C141" s="7" t="s">
        <v>40</v>
      </c>
      <c r="D141" s="7" t="s">
        <v>6</v>
      </c>
      <c r="E141" s="7" t="s">
        <v>33</v>
      </c>
      <c r="F141" s="7" t="s">
        <v>34</v>
      </c>
      <c r="G141" s="8">
        <v>6.9444444444444448E-2</v>
      </c>
      <c r="H141" s="8">
        <v>6.805555555555555E-2</v>
      </c>
      <c r="I141" s="9">
        <f t="shared" si="67"/>
        <v>-2.0000000000000129</v>
      </c>
      <c r="J141" s="8">
        <v>0.26041666666666669</v>
      </c>
      <c r="K141" s="8">
        <v>0.26944444444444443</v>
      </c>
      <c r="L141" s="9">
        <f t="shared" si="68"/>
        <v>12.999999999999954</v>
      </c>
      <c r="M141" s="10">
        <f>($Q$19-Table1[[#This Row],[Arrival]])*1440</f>
        <v>102.00000000000004</v>
      </c>
    </row>
    <row r="142" spans="2:13" ht="15.75" thickBot="1" x14ac:dyDescent="0.3">
      <c r="B142" s="1">
        <v>45755</v>
      </c>
      <c r="C142" s="7" t="s">
        <v>32</v>
      </c>
      <c r="D142" s="7" t="s">
        <v>6</v>
      </c>
      <c r="E142" s="7" t="s">
        <v>33</v>
      </c>
      <c r="F142" s="7" t="s">
        <v>34</v>
      </c>
      <c r="G142" s="8">
        <v>6.9444444444444448E-2</v>
      </c>
      <c r="H142" s="8">
        <v>7.3611111111111113E-2</v>
      </c>
      <c r="I142" s="9">
        <f t="shared" si="67"/>
        <v>5.9999999999999982</v>
      </c>
      <c r="J142" s="8">
        <v>0.26041666666666669</v>
      </c>
      <c r="K142" s="8">
        <v>0.26458333333333334</v>
      </c>
      <c r="L142" s="9">
        <f t="shared" si="68"/>
        <v>5.9999999999999787</v>
      </c>
      <c r="M142" s="10">
        <f>($Q$19-Table1[[#This Row],[Arrival]])*1440</f>
        <v>109.00000000000001</v>
      </c>
    </row>
    <row r="143" spans="2:13" ht="15.75" thickBot="1" x14ac:dyDescent="0.3">
      <c r="B143" s="1">
        <v>45754</v>
      </c>
      <c r="C143" s="7" t="str">
        <f t="shared" ref="C143" si="73">TEXT(B143, "dddd")</f>
        <v>Monday</v>
      </c>
      <c r="D143" s="7" t="s">
        <v>6</v>
      </c>
      <c r="E143" s="7" t="s">
        <v>33</v>
      </c>
      <c r="F143" s="7" t="s">
        <v>34</v>
      </c>
      <c r="G143" s="8">
        <v>6.9444444444444448E-2</v>
      </c>
      <c r="H143" s="8">
        <v>7.5694444444444439E-2</v>
      </c>
      <c r="I143" s="9">
        <f t="shared" si="67"/>
        <v>8.9999999999999876</v>
      </c>
      <c r="J143" s="8">
        <v>0.26041666666666669</v>
      </c>
      <c r="K143" s="8">
        <v>0.26180555555555557</v>
      </c>
      <c r="L143" s="9">
        <f t="shared" si="68"/>
        <v>1.9999999999999929</v>
      </c>
      <c r="M143" s="10">
        <f>($Q$19-Table1[[#This Row],[Arrival]])*1440</f>
        <v>113</v>
      </c>
    </row>
    <row r="144" spans="2:13" ht="15.75" thickBot="1" x14ac:dyDescent="0.3">
      <c r="B144" s="1">
        <v>45753</v>
      </c>
      <c r="C144" s="7" t="s">
        <v>36</v>
      </c>
      <c r="D144" s="7" t="s">
        <v>6</v>
      </c>
      <c r="E144" s="7" t="s">
        <v>33</v>
      </c>
      <c r="F144" s="7" t="s">
        <v>34</v>
      </c>
      <c r="G144" s="8">
        <v>6.9444444444444448E-2</v>
      </c>
      <c r="H144" s="8">
        <v>7.8472222222222221E-2</v>
      </c>
      <c r="I144" s="9">
        <f t="shared" si="67"/>
        <v>12.999999999999993</v>
      </c>
      <c r="J144" s="8">
        <v>0.26041666666666669</v>
      </c>
      <c r="K144" s="8">
        <v>0.2722222222222222</v>
      </c>
      <c r="L144" s="9">
        <f t="shared" si="68"/>
        <v>16.99999999999994</v>
      </c>
      <c r="M144" s="10">
        <f>($Q$19-Table1[[#This Row],[Arrival]])*1440</f>
        <v>98.000000000000057</v>
      </c>
    </row>
    <row r="145" spans="2:13" ht="15.75" thickBot="1" x14ac:dyDescent="0.3">
      <c r="B145" s="1">
        <v>45752</v>
      </c>
      <c r="C145" s="7" t="s">
        <v>37</v>
      </c>
      <c r="D145" s="7" t="s">
        <v>6</v>
      </c>
      <c r="E145" s="7" t="s">
        <v>33</v>
      </c>
      <c r="F145" s="7" t="s">
        <v>34</v>
      </c>
      <c r="G145" s="8">
        <v>6.9444444444444448E-2</v>
      </c>
      <c r="H145" s="8">
        <v>7.2222222222222215E-2</v>
      </c>
      <c r="I145" s="9">
        <f t="shared" si="67"/>
        <v>3.9999999999999858</v>
      </c>
      <c r="J145" s="8">
        <v>0.26041666666666669</v>
      </c>
      <c r="K145" s="8">
        <v>0.25416666666666665</v>
      </c>
      <c r="L145" s="9">
        <f t="shared" si="68"/>
        <v>-9.000000000000048</v>
      </c>
      <c r="M145" s="10">
        <f>($Q$19-Table1[[#This Row],[Arrival]])*1440</f>
        <v>124.00000000000004</v>
      </c>
    </row>
    <row r="146" spans="2:13" ht="15.75" thickBot="1" x14ac:dyDescent="0.3">
      <c r="B146" s="1">
        <v>45751</v>
      </c>
      <c r="C146" s="7" t="s">
        <v>38</v>
      </c>
      <c r="D146" s="7" t="s">
        <v>6</v>
      </c>
      <c r="E146" s="7" t="s">
        <v>33</v>
      </c>
      <c r="F146" s="7" t="s">
        <v>34</v>
      </c>
      <c r="G146" s="8">
        <v>6.9444444444444448E-2</v>
      </c>
      <c r="H146" s="8">
        <v>9.0277777777777776E-2</v>
      </c>
      <c r="I146" s="9">
        <f t="shared" si="67"/>
        <v>29.999999999999993</v>
      </c>
      <c r="J146" s="8">
        <v>0.26041666666666669</v>
      </c>
      <c r="K146" s="8">
        <v>0.27638888888888891</v>
      </c>
      <c r="L146" s="9">
        <f t="shared" si="68"/>
        <v>23</v>
      </c>
      <c r="M146" s="10">
        <f>($Q$19-Table1[[#This Row],[Arrival]])*1440</f>
        <v>92</v>
      </c>
    </row>
    <row r="147" spans="2:13" ht="15.75" thickBot="1" x14ac:dyDescent="0.3">
      <c r="B147" s="1">
        <v>45750</v>
      </c>
      <c r="C147" s="7" t="s">
        <v>39</v>
      </c>
      <c r="D147" s="7" t="s">
        <v>6</v>
      </c>
      <c r="E147" s="7" t="s">
        <v>33</v>
      </c>
      <c r="F147" s="7" t="s">
        <v>34</v>
      </c>
      <c r="G147" s="8">
        <v>6.9444444444444448E-2</v>
      </c>
      <c r="H147" s="8">
        <v>7.6388888888888895E-2</v>
      </c>
      <c r="I147" s="9">
        <f t="shared" si="67"/>
        <v>10.000000000000004</v>
      </c>
      <c r="J147" s="8">
        <v>0.26041666666666669</v>
      </c>
      <c r="K147" s="8">
        <v>0.26458333333333334</v>
      </c>
      <c r="L147" s="9">
        <f t="shared" si="68"/>
        <v>5.9999999999999787</v>
      </c>
      <c r="M147" s="10">
        <f>($Q$19-Table1[[#This Row],[Arrival]])*1440</f>
        <v>109.00000000000001</v>
      </c>
    </row>
    <row r="148" spans="2:13" ht="15.75" thickBot="1" x14ac:dyDescent="0.3">
      <c r="B148" s="1">
        <v>45749</v>
      </c>
      <c r="C148" s="7" t="s">
        <v>40</v>
      </c>
      <c r="D148" s="7" t="s">
        <v>6</v>
      </c>
      <c r="E148" s="7" t="s">
        <v>33</v>
      </c>
      <c r="F148" s="7" t="s">
        <v>34</v>
      </c>
      <c r="G148" s="8">
        <v>6.9444444444444448E-2</v>
      </c>
      <c r="H148" s="8">
        <v>7.7777777777777779E-2</v>
      </c>
      <c r="I148" s="9">
        <f t="shared" si="67"/>
        <v>11.999999999999996</v>
      </c>
      <c r="J148" s="8">
        <v>0.26041666666666669</v>
      </c>
      <c r="K148" s="8">
        <v>0.26805555555555555</v>
      </c>
      <c r="L148" s="9">
        <f t="shared" si="68"/>
        <v>10.999999999999961</v>
      </c>
      <c r="M148" s="10">
        <f>($Q$19-Table1[[#This Row],[Arrival]])*1440</f>
        <v>104.00000000000003</v>
      </c>
    </row>
    <row r="149" spans="2:13" ht="15.75" thickBot="1" x14ac:dyDescent="0.3">
      <c r="B149" s="1">
        <v>45748</v>
      </c>
      <c r="C149" s="7" t="s">
        <v>32</v>
      </c>
      <c r="D149" s="7" t="s">
        <v>6</v>
      </c>
      <c r="E149" s="7" t="s">
        <v>33</v>
      </c>
      <c r="F149" s="7" t="s">
        <v>34</v>
      </c>
      <c r="G149" s="8">
        <v>6.9444444444444448E-2</v>
      </c>
      <c r="H149" s="8">
        <v>7.5694444444444439E-2</v>
      </c>
      <c r="I149" s="9">
        <f t="shared" si="67"/>
        <v>8.9999999999999876</v>
      </c>
      <c r="J149" s="8">
        <v>0.26041666666666669</v>
      </c>
      <c r="K149" s="8">
        <v>0.25555555555555554</v>
      </c>
      <c r="L149" s="9">
        <f t="shared" si="68"/>
        <v>-7.0000000000000551</v>
      </c>
      <c r="M149" s="10">
        <f>($Q$19-Table1[[#This Row],[Arrival]])*1440</f>
        <v>122.00000000000004</v>
      </c>
    </row>
    <row r="150" spans="2:13" ht="15.75" thickBot="1" x14ac:dyDescent="0.3">
      <c r="B150" s="1">
        <v>45747</v>
      </c>
      <c r="C150" s="7" t="str">
        <f t="shared" ref="C150" si="74">TEXT(B150, "dddd")</f>
        <v>Monday</v>
      </c>
      <c r="D150" s="7" t="s">
        <v>6</v>
      </c>
      <c r="E150" s="7" t="s">
        <v>33</v>
      </c>
      <c r="F150" s="7" t="s">
        <v>34</v>
      </c>
      <c r="G150" s="8">
        <v>6.9444444444444448E-2</v>
      </c>
      <c r="H150" s="8">
        <v>7.6388888888888895E-2</v>
      </c>
      <c r="I150" s="9">
        <f t="shared" si="67"/>
        <v>10.000000000000004</v>
      </c>
      <c r="J150" s="8">
        <v>0.26041666666666669</v>
      </c>
      <c r="K150" s="8">
        <v>0.25277777777777777</v>
      </c>
      <c r="L150" s="9">
        <f t="shared" si="68"/>
        <v>-11.000000000000041</v>
      </c>
      <c r="M150" s="10">
        <f>($Q$19-Table1[[#This Row],[Arrival]])*1440</f>
        <v>126.00000000000003</v>
      </c>
    </row>
    <row r="151" spans="2:13" ht="15.75" thickBot="1" x14ac:dyDescent="0.3">
      <c r="B151" s="1">
        <v>45746</v>
      </c>
      <c r="C151" s="7" t="s">
        <v>36</v>
      </c>
      <c r="D151" s="7" t="s">
        <v>6</v>
      </c>
      <c r="E151" s="7" t="s">
        <v>33</v>
      </c>
      <c r="F151" s="7" t="s">
        <v>34</v>
      </c>
      <c r="G151" s="8">
        <v>6.9444444444444448E-2</v>
      </c>
      <c r="H151" s="8">
        <v>9.7916666666666666E-2</v>
      </c>
      <c r="I151" s="9">
        <f t="shared" si="67"/>
        <v>40.999999999999993</v>
      </c>
      <c r="J151" s="8">
        <v>0.26041666666666669</v>
      </c>
      <c r="K151" s="8">
        <v>0.28055555555555556</v>
      </c>
      <c r="L151" s="9">
        <f t="shared" si="68"/>
        <v>28.999999999999979</v>
      </c>
      <c r="M151" s="10">
        <f>($Q$19-Table1[[#This Row],[Arrival]])*1440</f>
        <v>86.000000000000014</v>
      </c>
    </row>
    <row r="152" spans="2:13" ht="15.75" thickBot="1" x14ac:dyDescent="0.3">
      <c r="B152" s="1">
        <v>45745</v>
      </c>
      <c r="C152" s="7" t="s">
        <v>37</v>
      </c>
      <c r="D152" s="7" t="s">
        <v>6</v>
      </c>
      <c r="E152" s="7" t="s">
        <v>33</v>
      </c>
      <c r="F152" s="7" t="s">
        <v>34</v>
      </c>
      <c r="G152" s="8">
        <v>6.9444444444444448E-2</v>
      </c>
      <c r="H152" s="8">
        <v>0.10972222222222222</v>
      </c>
      <c r="I152" s="9">
        <f t="shared" si="67"/>
        <v>57.999999999999993</v>
      </c>
      <c r="J152" s="8">
        <v>0.26041666666666669</v>
      </c>
      <c r="K152" s="8">
        <v>0.24236111111111111</v>
      </c>
      <c r="L152" s="9">
        <f t="shared" si="68"/>
        <v>-26.000000000000028</v>
      </c>
      <c r="M152" s="10">
        <f>($Q$19-Table1[[#This Row],[Arrival]])*1440</f>
        <v>141.00000000000003</v>
      </c>
    </row>
    <row r="153" spans="2:13" ht="15.75" thickBot="1" x14ac:dyDescent="0.3">
      <c r="B153" s="1">
        <v>45744</v>
      </c>
      <c r="C153" s="7" t="s">
        <v>38</v>
      </c>
      <c r="D153" s="7" t="s">
        <v>6</v>
      </c>
      <c r="E153" s="7" t="s">
        <v>33</v>
      </c>
      <c r="F153" s="7" t="s">
        <v>34</v>
      </c>
      <c r="G153" s="8">
        <v>6.9444444444444448E-2</v>
      </c>
      <c r="H153" s="8">
        <v>7.9166666666666663E-2</v>
      </c>
      <c r="I153" s="9">
        <f t="shared" si="67"/>
        <v>13.999999999999989</v>
      </c>
      <c r="J153" s="8">
        <v>0.26041666666666669</v>
      </c>
      <c r="K153" s="8">
        <v>0.23333333333333334</v>
      </c>
      <c r="L153" s="9">
        <f t="shared" si="68"/>
        <v>-39.000000000000021</v>
      </c>
      <c r="M153" s="10">
        <f>($Q$19-Table1[[#This Row],[Arrival]])*1440</f>
        <v>154</v>
      </c>
    </row>
    <row r="154" spans="2:13" ht="15.75" thickBot="1" x14ac:dyDescent="0.3">
      <c r="B154" s="1">
        <v>45743</v>
      </c>
      <c r="C154" s="7" t="s">
        <v>39</v>
      </c>
      <c r="D154" s="7" t="s">
        <v>6</v>
      </c>
      <c r="E154" s="7" t="s">
        <v>33</v>
      </c>
      <c r="F154" s="7" t="s">
        <v>34</v>
      </c>
      <c r="G154" s="8">
        <v>6.9444444444444448E-2</v>
      </c>
      <c r="H154" s="8">
        <v>0.10694444444444444</v>
      </c>
      <c r="I154" s="9">
        <f t="shared" si="67"/>
        <v>53.999999999999986</v>
      </c>
      <c r="J154" s="8">
        <v>0.26041666666666669</v>
      </c>
      <c r="K154" s="8">
        <v>0.27430555555555558</v>
      </c>
      <c r="L154" s="9">
        <f t="shared" si="68"/>
        <v>20.000000000000007</v>
      </c>
      <c r="M154" s="10">
        <f>($Q$19-Table1[[#This Row],[Arrival]])*1440</f>
        <v>94.999999999999986</v>
      </c>
    </row>
    <row r="155" spans="2:13" ht="15.75" thickBot="1" x14ac:dyDescent="0.3">
      <c r="B155" s="1">
        <v>45742</v>
      </c>
      <c r="C155" s="7" t="s">
        <v>40</v>
      </c>
      <c r="D155" s="7" t="s">
        <v>6</v>
      </c>
      <c r="E155" s="7" t="s">
        <v>33</v>
      </c>
      <c r="F155" s="7" t="s">
        <v>34</v>
      </c>
      <c r="G155" s="8">
        <v>6.9444444444444448E-2</v>
      </c>
      <c r="H155" s="8">
        <v>8.4027777777777785E-2</v>
      </c>
      <c r="I155" s="9">
        <f t="shared" si="67"/>
        <v>21.000000000000007</v>
      </c>
      <c r="J155" s="8">
        <v>0.26041666666666669</v>
      </c>
      <c r="K155" s="8">
        <v>0.23958333333333334</v>
      </c>
      <c r="L155" s="9">
        <f t="shared" si="68"/>
        <v>-30.000000000000014</v>
      </c>
      <c r="M155" s="10">
        <f>($Q$19-Table1[[#This Row],[Arrival]])*1440</f>
        <v>145</v>
      </c>
    </row>
    <row r="156" spans="2:13" ht="15.75" thickBot="1" x14ac:dyDescent="0.3">
      <c r="B156" s="1">
        <v>45741</v>
      </c>
      <c r="C156" s="7" t="s">
        <v>32</v>
      </c>
      <c r="D156" s="7" t="s">
        <v>6</v>
      </c>
      <c r="E156" s="7" t="s">
        <v>33</v>
      </c>
      <c r="F156" s="7" t="s">
        <v>34</v>
      </c>
      <c r="G156" s="8">
        <v>6.9444444444444448E-2</v>
      </c>
      <c r="H156" s="8">
        <v>8.6805555555555552E-2</v>
      </c>
      <c r="I156" s="9">
        <f t="shared" si="67"/>
        <v>24.999999999999993</v>
      </c>
      <c r="J156" s="8">
        <v>0.26041666666666669</v>
      </c>
      <c r="K156" s="8">
        <v>0.24027777777777778</v>
      </c>
      <c r="L156" s="9">
        <f t="shared" si="68"/>
        <v>-29.000000000000018</v>
      </c>
      <c r="M156" s="10">
        <f>($Q$19-Table1[[#This Row],[Arrival]])*1440</f>
        <v>144</v>
      </c>
    </row>
    <row r="157" spans="2:13" ht="15.75" thickBot="1" x14ac:dyDescent="0.3">
      <c r="B157" s="1">
        <v>45740</v>
      </c>
      <c r="C157" s="7" t="str">
        <f t="shared" ref="C157" si="75">TEXT(B157, "dddd")</f>
        <v>Monday</v>
      </c>
      <c r="D157" s="7" t="s">
        <v>6</v>
      </c>
      <c r="E157" s="7" t="s">
        <v>33</v>
      </c>
      <c r="F157" s="7" t="s">
        <v>34</v>
      </c>
      <c r="G157" s="8">
        <v>6.9444444444444448E-2</v>
      </c>
      <c r="H157" s="8">
        <v>8.1944444444444445E-2</v>
      </c>
      <c r="I157" s="9">
        <f t="shared" si="67"/>
        <v>17.999999999999996</v>
      </c>
      <c r="J157" s="8">
        <v>0.26041666666666669</v>
      </c>
      <c r="K157" s="8">
        <v>0.24305555555555555</v>
      </c>
      <c r="L157" s="9">
        <f t="shared" si="68"/>
        <v>-25.000000000000032</v>
      </c>
      <c r="M157" s="10">
        <f>($Q$19-Table1[[#This Row],[Arrival]])*1440</f>
        <v>140.00000000000003</v>
      </c>
    </row>
    <row r="158" spans="2:13" ht="15.75" thickBot="1" x14ac:dyDescent="0.3">
      <c r="B158" s="1">
        <v>45739</v>
      </c>
      <c r="C158" s="7" t="s">
        <v>36</v>
      </c>
      <c r="D158" s="7" t="s">
        <v>6</v>
      </c>
      <c r="E158" s="7" t="s">
        <v>33</v>
      </c>
      <c r="F158" s="7" t="s">
        <v>34</v>
      </c>
      <c r="G158" s="8">
        <v>6.9444444444444448E-2</v>
      </c>
      <c r="H158" s="8">
        <v>9.7222222222222224E-2</v>
      </c>
      <c r="I158" s="9">
        <f t="shared" si="67"/>
        <v>40</v>
      </c>
      <c r="J158" s="8">
        <v>0.26041666666666669</v>
      </c>
      <c r="K158" s="8">
        <v>0.25416666666666665</v>
      </c>
      <c r="L158" s="9">
        <f t="shared" si="68"/>
        <v>-9.000000000000048</v>
      </c>
      <c r="M158" s="10">
        <f>($Q$19-Table1[[#This Row],[Arrival]])*1440</f>
        <v>124.00000000000004</v>
      </c>
    </row>
    <row r="159" spans="2:13" ht="15.75" thickBot="1" x14ac:dyDescent="0.3">
      <c r="B159" s="1">
        <v>45738</v>
      </c>
      <c r="C159" s="7" t="s">
        <v>37</v>
      </c>
      <c r="D159" s="7" t="s">
        <v>6</v>
      </c>
      <c r="E159" s="7" t="s">
        <v>33</v>
      </c>
      <c r="F159" s="7" t="s">
        <v>34</v>
      </c>
      <c r="G159" s="8">
        <v>6.9444444444444448E-2</v>
      </c>
      <c r="H159" s="8">
        <v>8.1250000000000003E-2</v>
      </c>
      <c r="I159" s="9">
        <f t="shared" si="67"/>
        <v>17</v>
      </c>
      <c r="J159" s="8">
        <v>0.26041666666666669</v>
      </c>
      <c r="K159" s="8">
        <v>0.22916666666666666</v>
      </c>
      <c r="L159" s="9">
        <f t="shared" si="68"/>
        <v>-45.000000000000043</v>
      </c>
      <c r="M159" s="10">
        <f>($Q$19-Table1[[#This Row],[Arrival]])*1440</f>
        <v>160.00000000000003</v>
      </c>
    </row>
    <row r="160" spans="2:13" ht="15.75" thickBot="1" x14ac:dyDescent="0.3">
      <c r="B160" s="1">
        <v>45737</v>
      </c>
      <c r="C160" s="7" t="s">
        <v>38</v>
      </c>
      <c r="D160" s="7" t="s">
        <v>6</v>
      </c>
      <c r="E160" s="7" t="s">
        <v>33</v>
      </c>
      <c r="F160" s="7" t="s">
        <v>34</v>
      </c>
      <c r="G160" s="8">
        <v>6.9444444444444448E-2</v>
      </c>
      <c r="H160" s="8">
        <v>8.611111111111111E-2</v>
      </c>
      <c r="I160" s="9">
        <f t="shared" si="67"/>
        <v>23.999999999999993</v>
      </c>
      <c r="J160" s="8">
        <v>0.26041666666666669</v>
      </c>
      <c r="K160" s="8">
        <v>0.23541666666666666</v>
      </c>
      <c r="L160" s="9">
        <f t="shared" si="68"/>
        <v>-36.000000000000028</v>
      </c>
      <c r="M160" s="10">
        <f>($Q$19-Table1[[#This Row],[Arrival]])*1440</f>
        <v>151.00000000000003</v>
      </c>
    </row>
    <row r="161" spans="2:13" ht="15.75" thickBot="1" x14ac:dyDescent="0.3">
      <c r="B161" s="1">
        <v>45736</v>
      </c>
      <c r="C161" s="7" t="s">
        <v>39</v>
      </c>
      <c r="D161" s="7" t="s">
        <v>6</v>
      </c>
      <c r="E161" s="7" t="s">
        <v>33</v>
      </c>
      <c r="F161" s="7" t="s">
        <v>34</v>
      </c>
      <c r="G161" s="8">
        <v>6.9444444444444448E-2</v>
      </c>
      <c r="H161" s="8">
        <v>9.930555555555555E-2</v>
      </c>
      <c r="I161" s="9">
        <f t="shared" si="67"/>
        <v>42.999999999999986</v>
      </c>
      <c r="J161" s="8">
        <v>0.26041666666666669</v>
      </c>
      <c r="K161" s="8">
        <v>0.25208333333333333</v>
      </c>
      <c r="L161" s="9">
        <f t="shared" si="68"/>
        <v>-12.000000000000037</v>
      </c>
      <c r="M161" s="10">
        <f>($Q$19-Table1[[#This Row],[Arrival]])*1440</f>
        <v>127.00000000000003</v>
      </c>
    </row>
    <row r="162" spans="2:13" ht="15.75" thickBot="1" x14ac:dyDescent="0.3">
      <c r="B162" s="1">
        <v>45735</v>
      </c>
      <c r="C162" s="7" t="s">
        <v>40</v>
      </c>
      <c r="D162" s="7" t="s">
        <v>6</v>
      </c>
      <c r="E162" s="7" t="s">
        <v>33</v>
      </c>
      <c r="F162" s="7" t="s">
        <v>34</v>
      </c>
      <c r="G162" s="8">
        <v>6.9444444444444448E-2</v>
      </c>
      <c r="H162" s="8">
        <v>7.5694444444444439E-2</v>
      </c>
      <c r="I162" s="9">
        <f t="shared" si="67"/>
        <v>8.9999999999999876</v>
      </c>
      <c r="J162" s="8">
        <v>0.26041666666666669</v>
      </c>
      <c r="K162" s="8">
        <v>0.23194444444444445</v>
      </c>
      <c r="L162" s="9">
        <f t="shared" si="68"/>
        <v>-41.000000000000014</v>
      </c>
      <c r="M162" s="10">
        <f>($Q$19-Table1[[#This Row],[Arrival]])*1440</f>
        <v>156</v>
      </c>
    </row>
    <row r="163" spans="2:13" ht="15.75" thickBot="1" x14ac:dyDescent="0.3">
      <c r="B163" s="1">
        <v>45734</v>
      </c>
      <c r="C163" s="7" t="s">
        <v>32</v>
      </c>
      <c r="D163" s="7" t="s">
        <v>6</v>
      </c>
      <c r="E163" s="7" t="s">
        <v>33</v>
      </c>
      <c r="F163" s="7" t="s">
        <v>34</v>
      </c>
      <c r="G163" s="8">
        <v>6.9444444444444448E-2</v>
      </c>
      <c r="H163" s="8">
        <v>9.166666666666666E-2</v>
      </c>
      <c r="I163" s="9">
        <f t="shared" si="67"/>
        <v>31.999999999999986</v>
      </c>
      <c r="J163" s="8">
        <v>0.26041666666666669</v>
      </c>
      <c r="K163" s="8">
        <v>0.24097222222222223</v>
      </c>
      <c r="L163" s="9">
        <f t="shared" si="68"/>
        <v>-28.000000000000021</v>
      </c>
      <c r="M163" s="10">
        <f>($Q$19-Table1[[#This Row],[Arrival]])*1440</f>
        <v>143</v>
      </c>
    </row>
    <row r="164" spans="2:13" ht="15.75" thickBot="1" x14ac:dyDescent="0.3">
      <c r="B164" s="1">
        <v>45733</v>
      </c>
      <c r="C164" s="7" t="str">
        <f t="shared" ref="C164" si="76">TEXT(B164, "dddd")</f>
        <v>Monday</v>
      </c>
      <c r="D164" s="7" t="s">
        <v>6</v>
      </c>
      <c r="E164" s="7" t="s">
        <v>33</v>
      </c>
      <c r="F164" s="7" t="s">
        <v>34</v>
      </c>
      <c r="G164" s="8">
        <v>6.9444444444444448E-2</v>
      </c>
      <c r="H164" s="8">
        <v>0.14027777777777778</v>
      </c>
      <c r="I164" s="9">
        <f t="shared" si="67"/>
        <v>102</v>
      </c>
      <c r="J164" s="8">
        <v>0.26041666666666669</v>
      </c>
      <c r="K164" s="8">
        <v>0.2986111111111111</v>
      </c>
      <c r="L164" s="9">
        <f t="shared" si="68"/>
        <v>54.999999999999964</v>
      </c>
      <c r="M164" s="10">
        <f>($Q$19-Table1[[#This Row],[Arrival]])*1440</f>
        <v>60.000000000000028</v>
      </c>
    </row>
    <row r="165" spans="2:13" ht="15.75" thickBot="1" x14ac:dyDescent="0.3">
      <c r="B165" s="1">
        <v>45732</v>
      </c>
      <c r="C165" s="7" t="s">
        <v>36</v>
      </c>
      <c r="D165" s="7" t="s">
        <v>6</v>
      </c>
      <c r="E165" s="7" t="s">
        <v>33</v>
      </c>
      <c r="F165" s="7" t="s">
        <v>34</v>
      </c>
      <c r="G165" s="8">
        <v>6.9444444444444448E-2</v>
      </c>
      <c r="H165" s="8">
        <v>7.6388888888888895E-2</v>
      </c>
      <c r="I165" s="9">
        <f t="shared" si="67"/>
        <v>10.000000000000004</v>
      </c>
      <c r="J165" s="8">
        <v>0.26041666666666669</v>
      </c>
      <c r="K165" s="8">
        <v>0.2326388888888889</v>
      </c>
      <c r="L165" s="9">
        <f t="shared" si="68"/>
        <v>-40.000000000000014</v>
      </c>
      <c r="M165" s="10">
        <f>($Q$19-Table1[[#This Row],[Arrival]])*1440</f>
        <v>155</v>
      </c>
    </row>
    <row r="166" spans="2:13" ht="15.75" thickBot="1" x14ac:dyDescent="0.3">
      <c r="B166" s="1">
        <v>45731</v>
      </c>
      <c r="C166" s="7" t="s">
        <v>37</v>
      </c>
      <c r="D166" s="7" t="s">
        <v>6</v>
      </c>
      <c r="E166" s="7" t="s">
        <v>33</v>
      </c>
      <c r="F166" s="7" t="s">
        <v>34</v>
      </c>
      <c r="G166" s="8">
        <v>6.9444444444444448E-2</v>
      </c>
      <c r="H166" s="8">
        <v>8.4722222222222227E-2</v>
      </c>
      <c r="I166" s="9">
        <f t="shared" si="67"/>
        <v>22</v>
      </c>
      <c r="J166" s="8">
        <v>0.26041666666666669</v>
      </c>
      <c r="K166" s="8">
        <v>0.25069444444444444</v>
      </c>
      <c r="L166" s="9">
        <f t="shared" si="68"/>
        <v>-14.00000000000003</v>
      </c>
      <c r="M166" s="10">
        <f>($Q$19-Table1[[#This Row],[Arrival]])*1440</f>
        <v>129.00000000000003</v>
      </c>
    </row>
    <row r="167" spans="2:13" ht="15.75" thickBot="1" x14ac:dyDescent="0.3">
      <c r="B167" s="1">
        <v>45730</v>
      </c>
      <c r="C167" s="7" t="s">
        <v>38</v>
      </c>
      <c r="D167" s="7" t="s">
        <v>6</v>
      </c>
      <c r="E167" s="7" t="s">
        <v>33</v>
      </c>
      <c r="F167" s="7" t="s">
        <v>34</v>
      </c>
      <c r="G167" s="8">
        <v>6.9444444444444448E-2</v>
      </c>
      <c r="H167" s="8">
        <v>0.11736111111111111</v>
      </c>
      <c r="I167" s="9">
        <f t="shared" si="67"/>
        <v>69</v>
      </c>
      <c r="J167" s="8">
        <v>0.26041666666666669</v>
      </c>
      <c r="K167" s="8">
        <v>0.27986111111111112</v>
      </c>
      <c r="L167" s="9">
        <f t="shared" si="68"/>
        <v>27.999999999999979</v>
      </c>
      <c r="M167" s="10">
        <f>($Q$19-Table1[[#This Row],[Arrival]])*1440</f>
        <v>87.000000000000014</v>
      </c>
    </row>
    <row r="168" spans="2:13" ht="15.75" thickBot="1" x14ac:dyDescent="0.3">
      <c r="B168" s="1">
        <v>45729</v>
      </c>
      <c r="C168" s="7" t="s">
        <v>39</v>
      </c>
      <c r="D168" s="7" t="s">
        <v>6</v>
      </c>
      <c r="E168" s="7" t="s">
        <v>33</v>
      </c>
      <c r="F168" s="7" t="s">
        <v>34</v>
      </c>
      <c r="G168" s="8">
        <v>6.9444444444444448E-2</v>
      </c>
      <c r="H168" s="8">
        <v>8.4722222222222227E-2</v>
      </c>
      <c r="I168" s="9">
        <f t="shared" si="67"/>
        <v>22</v>
      </c>
      <c r="J168" s="8">
        <v>0.26041666666666669</v>
      </c>
      <c r="K168" s="8">
        <v>0.23749999999999999</v>
      </c>
      <c r="L168" s="9">
        <f t="shared" si="68"/>
        <v>-33.000000000000043</v>
      </c>
      <c r="M168" s="10">
        <f>($Q$19-Table1[[#This Row],[Arrival]])*1440</f>
        <v>148.00000000000003</v>
      </c>
    </row>
    <row r="169" spans="2:13" ht="15.75" thickBot="1" x14ac:dyDescent="0.3">
      <c r="B169" s="1">
        <v>45728</v>
      </c>
      <c r="C169" s="7" t="s">
        <v>40</v>
      </c>
      <c r="D169" s="7" t="s">
        <v>6</v>
      </c>
      <c r="E169" s="7" t="s">
        <v>33</v>
      </c>
      <c r="F169" s="7" t="s">
        <v>34</v>
      </c>
      <c r="G169" s="8">
        <v>6.9444444444444448E-2</v>
      </c>
      <c r="H169" s="8">
        <v>8.9583333333333334E-2</v>
      </c>
      <c r="I169" s="9">
        <f t="shared" si="67"/>
        <v>28.999999999999996</v>
      </c>
      <c r="J169" s="8">
        <v>0.26041666666666669</v>
      </c>
      <c r="K169" s="8">
        <v>0.24930555555555556</v>
      </c>
      <c r="L169" s="9">
        <f t="shared" si="68"/>
        <v>-16.000000000000021</v>
      </c>
      <c r="M169" s="10">
        <f>($Q$19-Table1[[#This Row],[Arrival]])*1440</f>
        <v>131</v>
      </c>
    </row>
    <row r="170" spans="2:13" ht="15.75" thickBot="1" x14ac:dyDescent="0.3">
      <c r="B170" s="1">
        <v>45727</v>
      </c>
      <c r="C170" s="7" t="s">
        <v>32</v>
      </c>
      <c r="D170" s="7" t="s">
        <v>6</v>
      </c>
      <c r="E170" s="7" t="s">
        <v>33</v>
      </c>
      <c r="F170" s="7" t="s">
        <v>34</v>
      </c>
      <c r="G170" s="8">
        <v>6.9444444444444448E-2</v>
      </c>
      <c r="H170" s="8">
        <v>8.4027777777777785E-2</v>
      </c>
      <c r="I170" s="9">
        <f t="shared" si="67"/>
        <v>21.000000000000007</v>
      </c>
      <c r="J170" s="8">
        <v>0.26041666666666669</v>
      </c>
      <c r="K170" s="8">
        <v>0.24305555555555555</v>
      </c>
      <c r="L170" s="9">
        <f t="shared" si="68"/>
        <v>-25.000000000000032</v>
      </c>
      <c r="M170" s="10">
        <f>($Q$19-Table1[[#This Row],[Arrival]])*1440</f>
        <v>140.00000000000003</v>
      </c>
    </row>
    <row r="171" spans="2:13" ht="15.75" thickBot="1" x14ac:dyDescent="0.3">
      <c r="B171" s="1">
        <v>45725</v>
      </c>
      <c r="C171" s="7" t="s">
        <v>36</v>
      </c>
      <c r="D171" s="7" t="s">
        <v>6</v>
      </c>
      <c r="E171" s="7" t="s">
        <v>33</v>
      </c>
      <c r="F171" s="7" t="s">
        <v>34</v>
      </c>
      <c r="G171" s="8">
        <v>6.9444444444444448E-2</v>
      </c>
      <c r="H171" s="8">
        <v>0.1</v>
      </c>
      <c r="I171" s="9">
        <f t="shared" si="67"/>
        <v>44</v>
      </c>
      <c r="J171" s="8">
        <v>0.26041666666666669</v>
      </c>
      <c r="K171" s="8">
        <v>0.24722222222222223</v>
      </c>
      <c r="L171" s="9">
        <f t="shared" si="68"/>
        <v>-19.000000000000014</v>
      </c>
      <c r="M171" s="10">
        <f>($Q$19-Table1[[#This Row],[Arrival]])*1440</f>
        <v>134</v>
      </c>
    </row>
    <row r="172" spans="2:13" ht="15.75" thickBot="1" x14ac:dyDescent="0.3">
      <c r="B172" s="1">
        <v>45724</v>
      </c>
      <c r="C172" s="7" t="s">
        <v>37</v>
      </c>
      <c r="D172" s="7" t="s">
        <v>6</v>
      </c>
      <c r="E172" s="7" t="s">
        <v>33</v>
      </c>
      <c r="F172" s="7" t="s">
        <v>34</v>
      </c>
      <c r="G172" s="8">
        <v>6.9444444444444448E-2</v>
      </c>
      <c r="H172" s="8">
        <v>0.10555555555555556</v>
      </c>
      <c r="I172" s="9">
        <f t="shared" si="67"/>
        <v>51.999999999999993</v>
      </c>
      <c r="J172" s="8">
        <v>0.26041666666666669</v>
      </c>
      <c r="K172" s="8">
        <v>0.25</v>
      </c>
      <c r="L172" s="9">
        <f t="shared" si="68"/>
        <v>-15.000000000000027</v>
      </c>
      <c r="M172" s="10">
        <f>($Q$19-Table1[[#This Row],[Arrival]])*1440</f>
        <v>130.00000000000003</v>
      </c>
    </row>
  </sheetData>
  <phoneticPr fontId="3" type="noConversion"/>
  <conditionalFormatting sqref="L1:L1048576">
    <cfRule type="cellIs" dxfId="0" priority="1" operator="greaterThan">
      <formula>35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Soni</dc:creator>
  <cp:lastModifiedBy>Parth Soni</cp:lastModifiedBy>
  <dcterms:created xsi:type="dcterms:W3CDTF">2025-06-07T05:58:57Z</dcterms:created>
  <dcterms:modified xsi:type="dcterms:W3CDTF">2025-08-21T13:50:42Z</dcterms:modified>
</cp:coreProperties>
</file>